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ssos Hotéis" sheetId="1" state="visible" r:id="rId1"/>
    <sheet xmlns:r="http://schemas.openxmlformats.org/officeDocument/2006/relationships" name="Controle original 15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nferência" sheetId="4" state="visible" r:id="rId4"/>
    <sheet xmlns:r="http://schemas.openxmlformats.org/officeDocument/2006/relationships" name="Detalhes do MESTRE 16" sheetId="5" state="visible" r:id="rId5"/>
  </sheets>
  <definedNames>
    <definedName name="_xlnm._FilterDatabase" localSheetId="0" hidden="1">'Nossos Hotéis'!$A$4:$V$20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1F1F1F"/>
    </font>
    <font>
      <b val="1"/>
      <color rgb="00FFFFFF"/>
      <sz val="15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hair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164" fontId="0" fillId="5" borderId="2" applyAlignment="1" pivotButton="0" quotePrefix="0" xfId="0">
      <alignment vertical="top" wrapText="1"/>
    </xf>
    <xf numFmtId="0" fontId="4" fillId="2" borderId="0" pivotButton="0" quotePrefix="0" xfId="0"/>
    <xf numFmtId="0" fontId="5" fillId="4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5" fillId="4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NossosHoteis16" displayName="NossosHoteis16" ref="A4:V20" headerRowCount="1">
  <autoFilter ref="A4:V20"/>
  <tableColumns count="22">
    <tableColumn id="1" name="Nº"/>
    <tableColumn id="2" name="Cidade"/>
    <tableColumn id="3" name="Período"/>
    <tableColumn id="4" name="Hospedagem"/>
    <tableColumn id="5" name="Status do pagamento"/>
    <tableColumn id="6" name="Data do lançamento/pagamento"/>
    <tableColumn id="7" name="Café da manhã — controle original"/>
    <tableColumn id="8" name="Depósito — controle original"/>
    <tableColumn id="9" name="Observação — controle original"/>
    <tableColumn id="10" name="Valor informado / controle (R$)"/>
    <tableColumn id="11" name="Valor no MESTRE 16 (R$)"/>
    <tableColumn id="12" name="Diferença Mestre - Controle (R$)"/>
    <tableColumn id="13" name="Nº reserva / confirmação"/>
    <tableColumn id="14" name="Quarto"/>
    <tableColumn id="15" name="Adultos"/>
    <tableColumn id="16" name="Café da manhã — MESTRE"/>
    <tableColumn id="17" name="Depósito — MESTRE"/>
    <tableColumn id="18" name="Pagamento — MESTRE"/>
    <tableColumn id="19" name="Endereço"/>
    <tableColumn id="20" name="Plataforma / contato"/>
    <tableColumn id="21" name="Observações — MESTRE"/>
    <tableColumn id="22" name="Fonte / conferê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40" customWidth="1" min="4" max="4"/>
    <col width="22" customWidth="1" min="5" max="5"/>
    <col width="24" customWidth="1" min="6" max="6"/>
    <col width="30" customWidth="1" min="7" max="7"/>
    <col width="28" customWidth="1" min="8" max="8"/>
    <col width="58" customWidth="1" min="9" max="9"/>
    <col width="20" customWidth="1" min="10" max="10"/>
    <col width="20" customWidth="1" min="11" max="11"/>
    <col width="25" customWidth="1" min="12" max="12"/>
    <col width="24" customWidth="1" min="13" max="13"/>
    <col width="45" customWidth="1" min="14" max="14"/>
    <col width="9" customWidth="1" min="15" max="15"/>
    <col width="38" customWidth="1" min="16" max="16"/>
    <col width="28" customWidth="1" min="17" max="17"/>
    <col width="32" customWidth="1" min="18" max="18"/>
    <col width="65" customWidth="1" min="19" max="19"/>
    <col width="22" customWidth="1" min="20" max="20"/>
    <col width="62" customWidth="1" min="21" max="21"/>
    <col width="42" customWidth="1" min="22" max="22"/>
  </cols>
  <sheetData>
    <row r="1">
      <c r="A1" s="1" t="inlineStr">
        <is>
          <t>NOSSOS HOTÉIS — CHINA + HONG KONG + MADRI 2026</t>
        </is>
      </c>
    </row>
    <row r="2">
      <c r="A2" s="2" t="inlineStr">
        <is>
          <t>Base: planilha original recuperada + conferência com MESTRE HOTÉIS 16. Os valores informados originalmente foram preservados e não substituídos.</t>
        </is>
      </c>
    </row>
    <row r="4">
      <c r="A4" s="3" t="inlineStr">
        <is>
          <t>Nº</t>
        </is>
      </c>
      <c r="B4" s="3" t="inlineStr">
        <is>
          <t>Cidade</t>
        </is>
      </c>
      <c r="C4" s="3" t="inlineStr">
        <is>
          <t>Período</t>
        </is>
      </c>
      <c r="D4" s="3" t="inlineStr">
        <is>
          <t>Hospedagem</t>
        </is>
      </c>
      <c r="E4" s="3" t="inlineStr">
        <is>
          <t>Status do pagamento</t>
        </is>
      </c>
      <c r="F4" s="3" t="inlineStr">
        <is>
          <t>Data do lançamento/pagamento</t>
        </is>
      </c>
      <c r="G4" s="3" t="inlineStr">
        <is>
          <t>Café da manhã — controle original</t>
        </is>
      </c>
      <c r="H4" s="3" t="inlineStr">
        <is>
          <t>Depósito — controle original</t>
        </is>
      </c>
      <c r="I4" s="3" t="inlineStr">
        <is>
          <t>Observação — controle original</t>
        </is>
      </c>
      <c r="J4" s="3" t="inlineStr">
        <is>
          <t>Valor informado / controle (R$)</t>
        </is>
      </c>
      <c r="K4" s="3" t="inlineStr">
        <is>
          <t>Valor no MESTRE 16 (R$)</t>
        </is>
      </c>
      <c r="L4" s="3" t="inlineStr">
        <is>
          <t>Diferença Mestre - Controle (R$)</t>
        </is>
      </c>
      <c r="M4" s="3" t="inlineStr">
        <is>
          <t>Nº reserva / confirmação</t>
        </is>
      </c>
      <c r="N4" s="3" t="inlineStr">
        <is>
          <t>Quarto</t>
        </is>
      </c>
      <c r="O4" s="3" t="inlineStr">
        <is>
          <t>Adultos</t>
        </is>
      </c>
      <c r="P4" s="3" t="inlineStr">
        <is>
          <t>Café da manhã — MESTRE</t>
        </is>
      </c>
      <c r="Q4" s="3" t="inlineStr">
        <is>
          <t>Depósito — MESTRE</t>
        </is>
      </c>
      <c r="R4" s="3" t="inlineStr">
        <is>
          <t>Pagamento — MESTRE</t>
        </is>
      </c>
      <c r="S4" s="3" t="inlineStr">
        <is>
          <t>Endereço</t>
        </is>
      </c>
      <c r="T4" s="3" t="inlineStr">
        <is>
          <t>Plataforma / contato</t>
        </is>
      </c>
      <c r="U4" s="3" t="inlineStr">
        <is>
          <t>Observações — MESTRE</t>
        </is>
      </c>
      <c r="V4" s="3" t="inlineStr">
        <is>
          <t>Fonte / conferência</t>
        </is>
      </c>
    </row>
    <row r="5">
      <c r="A5" s="4" t="n">
        <v>1</v>
      </c>
      <c r="B5" s="4" t="inlineStr">
        <is>
          <t>Madrid</t>
        </is>
      </c>
      <c r="C5" s="4" t="inlineStr">
        <is>
          <t>18/10/2026</t>
        </is>
      </c>
      <c r="D5" s="4" t="inlineStr">
        <is>
          <t>Clement Barajas</t>
        </is>
      </c>
      <c r="E5" s="4" t="inlineStr">
        <is>
          <t>NÃO — pagar no hotel</t>
        </is>
      </c>
      <c r="F5" s="4" t="inlineStr">
        <is>
          <t>18/10/2026</t>
        </is>
      </c>
      <c r="G5" s="4" t="inlineStr">
        <is>
          <t>Não informado</t>
        </is>
      </c>
      <c r="H5" s="4" t="inlineStr">
        <is>
          <t>Não</t>
        </is>
      </c>
      <c r="I5" s="4" t="inlineStr">
        <is>
          <t>Day use; reserva 56U69US1; valor €64 no print.</t>
        </is>
      </c>
      <c r="J5" s="5" t="n">
        <v>376</v>
      </c>
      <c r="K5" s="5" t="n">
        <v>376</v>
      </c>
      <c r="L5" s="5">
        <f>IF(OR(J5="",K5=""),"",K5-J5)</f>
        <v/>
      </c>
      <c r="M5" s="4" t="inlineStr">
        <is>
          <t>56U69US1</t>
        </is>
      </c>
      <c r="N5" s="4" t="inlineStr">
        <is>
          <t>Duplo Standard — 2 camas separadas solicitadas</t>
        </is>
      </c>
      <c r="O5" s="4" t="n">
        <v>2</v>
      </c>
      <c r="P5" s="4" t="inlineStr">
        <is>
          <t>Não informado</t>
        </is>
      </c>
      <c r="Q5" s="4" t="inlineStr">
        <is>
          <t>Não informado</t>
        </is>
      </c>
      <c r="R5" s="4" t="inlineStr">
        <is>
          <t>Pagar no hotel</t>
        </is>
      </c>
      <c r="S5" s="4" t="inlineStr">
        <is>
          <t>Av. General, 43, 28042 Madrid, Espanha</t>
        </is>
      </c>
      <c r="T5" s="4" t="inlineStr">
        <is>
          <t>The Use</t>
        </is>
      </c>
      <c r="U5" s="4" t="inlineStr">
        <is>
          <t>Cancelamento gratuito até 2h antes do final do intervalo.</t>
        </is>
      </c>
      <c r="V5" s="4" t="inlineStr">
        <is>
          <t>MESTRE HOTÉIS 16 — conferência; ficha visual / confirmação preservada</t>
        </is>
      </c>
    </row>
    <row r="6">
      <c r="A6" s="4" t="n">
        <v>2</v>
      </c>
      <c r="B6" s="4" t="inlineStr">
        <is>
          <t>Doha</t>
        </is>
      </c>
      <c r="C6" s="4" t="inlineStr">
        <is>
          <t>19/10/2026</t>
        </is>
      </c>
      <c r="D6" s="4" t="inlineStr">
        <is>
          <t>Al Najada Hotel By Tivoli</t>
        </is>
      </c>
      <c r="E6" s="4" t="inlineStr">
        <is>
          <t>PAGO</t>
        </is>
      </c>
      <c r="F6" s="4" t="inlineStr">
        <is>
          <t>JÁ PAGO</t>
        </is>
      </c>
      <c r="G6" s="4" t="inlineStr">
        <is>
          <t>Não</t>
        </is>
      </c>
      <c r="H6" s="4" t="inlineStr">
        <is>
          <t>Não</t>
        </is>
      </c>
      <c r="I6" s="4" t="inlineStr">
        <is>
          <t>Reserva pela Qatar Visitantes; pagamento confirmado; café da manhã não incluído.</t>
        </is>
      </c>
      <c r="J6" s="5" t="n">
        <v>246</v>
      </c>
      <c r="K6" s="5" t="n">
        <v>246</v>
      </c>
      <c r="L6" s="5">
        <f>IF(OR(J6="",K6=""),"",K6-J6)</f>
        <v/>
      </c>
      <c r="M6" s="4" t="inlineStr">
        <is>
          <t>Não informado</t>
        </is>
      </c>
      <c r="N6" s="4" t="inlineStr">
        <is>
          <t>Não informado</t>
        </is>
      </c>
      <c r="O6" s="4" t="n">
        <v>2</v>
      </c>
      <c r="P6" s="4" t="inlineStr">
        <is>
          <t>Não informado</t>
        </is>
      </c>
      <c r="Q6" s="4" t="inlineStr">
        <is>
          <t>Não informado</t>
        </is>
      </c>
      <c r="R6" s="4" t="inlineStr">
        <is>
          <t>PAGO</t>
        </is>
      </c>
      <c r="S6" s="4" t="inlineStr">
        <is>
          <t>Barahat Al Jufairi Street, Al Najada, Doha, Qatar</t>
        </is>
      </c>
      <c r="T6" s="4" t="inlineStr">
        <is>
          <t>Qatar Visitantes</t>
        </is>
      </c>
      <c r="U6" s="4" t="inlineStr">
        <is>
          <t>Metrô como opção principal; Uber/táxi como plano B.</t>
        </is>
      </c>
      <c r="V6" s="4" t="inlineStr">
        <is>
          <t>MESTRE HOTÉIS 16 — conferência; ficha visual / confirmação preservada</t>
        </is>
      </c>
    </row>
    <row r="7">
      <c r="A7" s="4" t="n">
        <v>3</v>
      </c>
      <c r="B7" s="4" t="inlineStr">
        <is>
          <t>Hong Kong</t>
        </is>
      </c>
      <c r="C7" s="4" t="inlineStr">
        <is>
          <t>20–21/10/2026</t>
        </is>
      </c>
      <c r="D7" s="4" t="inlineStr">
        <is>
          <t>The Salvation Army — Booth Lodge</t>
        </is>
      </c>
      <c r="E7" s="4" t="inlineStr">
        <is>
          <t>PAGO</t>
        </is>
      </c>
      <c r="F7" s="4" t="inlineStr">
        <is>
          <t>JÁ PAGO</t>
        </is>
      </c>
      <c r="G7" s="4" t="inlineStr">
        <is>
          <t>Não</t>
        </is>
      </c>
      <c r="H7" s="4" t="inlineStr">
        <is>
          <t>Não</t>
        </is>
      </c>
      <c r="I7" s="4" t="inlineStr">
        <is>
          <t>Reserva pelo Trip.com; pagamento confirmado. Café da manhã não está incluído na reserva; pode ser oferecido pelo hotel à parte. | Reserva feita pelo Booking</t>
        </is>
      </c>
      <c r="J7" s="5" t="n">
        <v>628.89</v>
      </c>
      <c r="K7" s="5" t="n">
        <v>628.89</v>
      </c>
      <c r="L7" s="5">
        <f>IF(OR(J7="",K7=""),"",K7-J7)</f>
        <v/>
      </c>
      <c r="M7" s="4" t="inlineStr">
        <is>
          <t>Não informado</t>
        </is>
      </c>
      <c r="N7" s="4" t="inlineStr">
        <is>
          <t>Não informado</t>
        </is>
      </c>
      <c r="O7" s="4" t="n">
        <v>2</v>
      </c>
      <c r="P7" s="4" t="inlineStr">
        <is>
          <t>Não informado</t>
        </is>
      </c>
      <c r="Q7" s="4" t="inlineStr">
        <is>
          <t>Não informado</t>
        </is>
      </c>
      <c r="R7" s="4" t="inlineStr">
        <is>
          <t>PAGO</t>
        </is>
      </c>
      <c r="S7" s="4" t="inlineStr">
        <is>
          <t>11 Wing Sing Lane, Tsim Sha Tsui, Kowloon, Hong Kong</t>
        </is>
      </c>
      <c r="T7" s="4" t="inlineStr">
        <is>
          <t>Trip.com</t>
        </is>
      </c>
      <c r="U7" s="4" t="inlineStr">
        <is>
          <t>Porta principal trancada 00:00–06:00; se necessário, acionar recepção do Booth Lodge (7/F).</t>
        </is>
      </c>
      <c r="V7" s="4" t="inlineStr">
        <is>
          <t>MESTRE HOTÉIS 16 — conferência; ficha visual / confirmação preservada</t>
        </is>
      </c>
    </row>
    <row r="8">
      <c r="A8" s="4" t="n">
        <v>4</v>
      </c>
      <c r="B8" s="4" t="inlineStr">
        <is>
          <t>Xangai</t>
        </is>
      </c>
      <c r="C8" s="4" t="inlineStr">
        <is>
          <t>21–24/10/2026</t>
        </is>
      </c>
      <c r="D8" s="4" t="inlineStr">
        <is>
          <t>Homeinn Selected — Nanjing Road/Bund</t>
        </is>
      </c>
      <c r="E8" s="4" t="inlineStr">
        <is>
          <t>PAGAR DEPOIS</t>
        </is>
      </c>
      <c r="F8" s="4" t="inlineStr">
        <is>
          <t>18/10/2026</t>
        </is>
      </c>
      <c r="G8" s="4" t="inlineStr">
        <is>
          <t>Não — refeições não incluídas</t>
        </is>
      </c>
      <c r="H8" s="4" t="inlineStr">
        <is>
          <t>Não</t>
        </is>
      </c>
      <c r="I8" s="4" t="inlineStr">
        <is>
          <t>Cobrança no cartão Visa final 6614</t>
        </is>
      </c>
      <c r="J8" s="5" t="n">
        <v>1193.61</v>
      </c>
      <c r="K8" s="5" t="n">
        <v>1193.61</v>
      </c>
      <c r="L8" s="5">
        <f>IF(OR(J8="",K8=""),"",K8-J8)</f>
        <v/>
      </c>
      <c r="M8" s="4" t="inlineStr">
        <is>
          <t>1207313974351278</t>
        </is>
      </c>
      <c r="N8" s="4" t="inlineStr">
        <is>
          <t>Superior com 2 camas (Estilo Shikumen) — 2 camas de solteiro</t>
        </is>
      </c>
      <c r="O8" s="4" t="n">
        <v>2</v>
      </c>
      <c r="P8" s="4" t="inlineStr">
        <is>
          <t>Não — refeições não incluídas</t>
        </is>
      </c>
      <c r="Q8" s="4" t="inlineStr">
        <is>
          <t>Não</t>
        </is>
      </c>
      <c r="R8" s="4" t="inlineStr">
        <is>
          <t>Pagar depois — Visa final 6614</t>
        </is>
      </c>
      <c r="S8" s="4" t="inlineStr">
        <is>
          <t>No. 11 (Inside the alley), Lane 135, Jiangxi Middle Road, Huangpu, 200002 Shanghai, China</t>
        </is>
      </c>
      <c r="T8" s="4" t="inlineStr">
        <is>
          <t>Trip.com</t>
        </is>
      </c>
      <c r="U8" s="4" t="inlineStr">
        <is>
          <t>Cancelamento grátis até 21/10/2026 às 18:00 (horário local).</t>
        </is>
      </c>
      <c r="V8" s="4" t="inlineStr">
        <is>
          <t>MESTRE HOTÉIS 16 — conferência; ficha visual / confirmação preservada</t>
        </is>
      </c>
    </row>
    <row r="9">
      <c r="A9" s="6" t="n">
        <v>5</v>
      </c>
      <c r="B9" s="6" t="inlineStr">
        <is>
          <t>Pequim</t>
        </is>
      </c>
      <c r="C9" s="6" t="inlineStr">
        <is>
          <t>24–27/10/2026</t>
        </is>
      </c>
      <c r="D9" s="6" t="inlineStr">
        <is>
          <t>L Hotel — Tiananmen/Qianmen</t>
        </is>
      </c>
      <c r="E9" s="6" t="inlineStr">
        <is>
          <t>PAGAR DEPOIS</t>
        </is>
      </c>
      <c r="F9" s="6" t="inlineStr">
        <is>
          <t>21/10/2026</t>
        </is>
      </c>
      <c r="G9" s="6" t="inlineStr">
        <is>
          <t>Não — refeições não incluídas</t>
        </is>
      </c>
      <c r="H9" s="6" t="inlineStr">
        <is>
          <t>Não</t>
        </is>
      </c>
      <c r="I9" s="6" t="inlineStr">
        <is>
          <t>Cobrança no cartão Visa final 2843</t>
        </is>
      </c>
      <c r="J9" s="7" t="n">
        <v>999</v>
      </c>
      <c r="K9" s="7" t="n">
        <v>998.88</v>
      </c>
      <c r="L9" s="7">
        <f>IF(OR(J9="",K9=""),"",K9-J9)</f>
        <v/>
      </c>
      <c r="M9" s="6" t="inlineStr">
        <is>
          <t>1207314003736581</t>
        </is>
      </c>
      <c r="N9" s="6" t="inlineStr">
        <is>
          <t>Premium Smart Twin Room — 2 camas de solteiro</t>
        </is>
      </c>
      <c r="O9" s="6" t="n">
        <v>2</v>
      </c>
      <c r="P9" s="6" t="inlineStr">
        <is>
          <t>Não — refeições não incluídas</t>
        </is>
      </c>
      <c r="Q9" s="6" t="inlineStr">
        <is>
          <t>Não</t>
        </is>
      </c>
      <c r="R9" s="6" t="inlineStr">
        <is>
          <t>Pagar depois — Visa final 2843; cobrança autorizada em 22/10/2026</t>
        </is>
      </c>
      <c r="S9" s="6" t="inlineStr">
        <is>
          <t>Building 1, No. 1 Courtyard, Jinyuchi Middle Street, Dongcheng District, Beijing, China</t>
        </is>
      </c>
      <c r="T9" s="6" t="inlineStr">
        <is>
          <t>Trip.com</t>
        </is>
      </c>
      <c r="U9" s="6" t="inlineStr">
        <is>
          <t>Cancelamento grátis até 23/10/2026 às 23:59; depois taxa de R$ 332,96.</t>
        </is>
      </c>
      <c r="V9" s="6" t="inlineStr">
        <is>
          <t>MESTRE HOTÉIS 16 — conferência; ficha visual / confirmação preservada</t>
        </is>
      </c>
    </row>
    <row r="10">
      <c r="A10" s="4" t="n">
        <v>6</v>
      </c>
      <c r="B10" s="4" t="inlineStr">
        <is>
          <t>Xi'an</t>
        </is>
      </c>
      <c r="C10" s="4" t="inlineStr">
        <is>
          <t>27–29/10/2026</t>
        </is>
      </c>
      <c r="D10" s="4" t="inlineStr">
        <is>
          <t>Huangchengyi Hotel</t>
        </is>
      </c>
      <c r="E10" s="4" t="inlineStr">
        <is>
          <t>PAGAR DEPOIS</t>
        </is>
      </c>
      <c r="F10" s="4" t="inlineStr">
        <is>
          <t>24/10/2026</t>
        </is>
      </c>
      <c r="G10" s="4" t="inlineStr">
        <is>
          <t>SIM — café da manhã para 2</t>
        </is>
      </c>
      <c r="H10" s="4" t="inlineStr">
        <is>
          <t>SIM — CNY 100 (~R$ 76,74)</t>
        </is>
      </c>
      <c r="I10" s="4" t="inlineStr">
        <is>
          <t>Cobrança no cartão Mastercard final 8517</t>
        </is>
      </c>
      <c r="J10" s="5" t="n">
        <v>230.12</v>
      </c>
      <c r="K10" s="5" t="n">
        <v>230.12</v>
      </c>
      <c r="L10" s="5">
        <f>IF(OR(J10="",K10=""),"",K10-J10)</f>
        <v/>
      </c>
      <c r="M10" s="4" t="inlineStr">
        <is>
          <t>1207314443920289</t>
        </is>
      </c>
      <c r="N10" s="4" t="inlineStr">
        <is>
          <t>Quarto de Hóspedes (2 camas) — 2 camas de solteiro</t>
        </is>
      </c>
      <c r="O10" s="4" t="n">
        <v>2</v>
      </c>
      <c r="P10" s="4" t="inlineStr">
        <is>
          <t>Sim — para 2 hóspedes por quarto, por diária</t>
        </is>
      </c>
      <c r="Q10" s="4" t="inlineStr">
        <is>
          <t>CNY 100 (~R$ 76,74) no check-in</t>
        </is>
      </c>
      <c r="R10" s="4" t="inlineStr">
        <is>
          <t>Não informado</t>
        </is>
      </c>
      <c r="S10" s="4" t="inlineStr">
        <is>
          <t>No. 272 West 1st Road, Xincheng District, Xi'an, Shaanxi, China</t>
        </is>
      </c>
      <c r="T10" s="4" t="inlineStr">
        <is>
          <t>Trip.com</t>
        </is>
      </c>
      <c r="U10" s="4" t="inlineStr">
        <is>
          <t>Transfer não disponível. Depósito pode ser em dinheiro, cartão ou débito. Cancelamento grátis até 27/10/2026 às 23:59; depois taxa de R$ 115,06.</t>
        </is>
      </c>
      <c r="V10" s="4" t="inlineStr">
        <is>
          <t>MESTRE HOTÉIS 16 — conferência; ficha visual / confirmação preservada</t>
        </is>
      </c>
    </row>
    <row r="11">
      <c r="A11" s="6" t="n">
        <v>7</v>
      </c>
      <c r="B11" s="6" t="inlineStr">
        <is>
          <t>Chengdu</t>
        </is>
      </c>
      <c r="C11" s="6" t="inlineStr">
        <is>
          <t>29–30/10/2026</t>
        </is>
      </c>
      <c r="D11" s="6" t="inlineStr">
        <is>
          <t>Homeinn · neo — Fuqin</t>
        </is>
      </c>
      <c r="E11" s="6" t="inlineStr">
        <is>
          <t>PAGAR DEPOIS</t>
        </is>
      </c>
      <c r="F11" s="6" t="inlineStr">
        <is>
          <t>26/10/2026</t>
        </is>
      </c>
      <c r="G11" s="6" t="inlineStr">
        <is>
          <t>SIM — café da manhã para 2</t>
        </is>
      </c>
      <c r="H11" s="6" t="inlineStr">
        <is>
          <t>Não informado</t>
        </is>
      </c>
      <c r="I11" s="6" t="inlineStr">
        <is>
          <t>Cobrança no cartão final 8412</t>
        </is>
      </c>
      <c r="J11" s="7" t="n">
        <v>135</v>
      </c>
      <c r="K11" s="7" t="n">
        <v>136</v>
      </c>
      <c r="L11" s="7">
        <f>IF(OR(J11="",K11=""),"",K11-J11)</f>
        <v/>
      </c>
      <c r="M11" s="6" t="inlineStr">
        <is>
          <t>1207314048642239</t>
        </is>
      </c>
      <c r="N11" s="6" t="inlineStr">
        <is>
          <t>Quarto com 2 camas — 2 camas de solteiro</t>
        </is>
      </c>
      <c r="O11" s="6" t="n">
        <v>2</v>
      </c>
      <c r="P11" s="6" t="inlineStr">
        <is>
          <t>Sim — para 2 hóspedes por quarto, por diária</t>
        </is>
      </c>
      <c r="Q11" s="6" t="inlineStr">
        <is>
          <t>Não informado</t>
        </is>
      </c>
      <c r="R11" s="6" t="inlineStr">
        <is>
          <t>Não indicado nos prints preservados</t>
        </is>
      </c>
      <c r="S11" s="6" t="inlineStr">
        <is>
          <t>No. 128 First Ring Road West Section 3, Jinniu District, 610031 Chengdu, Sichuan, China</t>
        </is>
      </c>
      <c r="T11" s="6" t="inlineStr">
        <is>
          <t>Trip.com</t>
        </is>
      </c>
      <c r="U11" s="6" t="inlineStr">
        <is>
          <t>Guia de check-in enviado pela propriedade antes da estadia. Transfer não disponível.</t>
        </is>
      </c>
      <c r="V11" s="6" t="inlineStr">
        <is>
          <t>MESTRE HOTÉIS 16 — conferência; ficha visual / confirmação preservada</t>
        </is>
      </c>
    </row>
    <row r="12">
      <c r="A12" s="4" t="n">
        <v>8</v>
      </c>
      <c r="B12" s="4" t="inlineStr">
        <is>
          <t>Chongqing</t>
        </is>
      </c>
      <c r="C12" s="4" t="inlineStr">
        <is>
          <t>30/10–01/11/2026</t>
        </is>
      </c>
      <c r="D12" s="4" t="inlineStr">
        <is>
          <t>ARISTON AIRESTON — Jiefangbei/Hongyadong</t>
        </is>
      </c>
      <c r="E12" s="4" t="inlineStr">
        <is>
          <t>PAGAR DEPOIS</t>
        </is>
      </c>
      <c r="F12" s="4" t="inlineStr">
        <is>
          <t>26/10/2026</t>
        </is>
      </c>
      <c r="G12" s="4" t="inlineStr">
        <is>
          <t>Não — refeições não incluídas</t>
        </is>
      </c>
      <c r="H12" s="4" t="inlineStr">
        <is>
          <t>Não informado</t>
        </is>
      </c>
      <c r="I12" s="4" t="inlineStr">
        <is>
          <t>Cobrança no cartão final 8517</t>
        </is>
      </c>
      <c r="J12" s="5" t="n">
        <v>1024</v>
      </c>
      <c r="K12" s="5" t="n">
        <v>1024</v>
      </c>
      <c r="L12" s="5">
        <f>IF(OR(J12="",K12=""),"",K12-J12)</f>
        <v/>
      </c>
      <c r="M12" s="4" t="inlineStr">
        <is>
          <t>Não recuperado</t>
        </is>
      </c>
      <c r="N12" s="4" t="inlineStr">
        <is>
          <t>Não recuperado</t>
        </is>
      </c>
      <c r="O12" s="4" t="n">
        <v>2</v>
      </c>
      <c r="P12" s="4" t="inlineStr">
        <is>
          <t>Não informado</t>
        </is>
      </c>
      <c r="Q12" s="4" t="inlineStr">
        <is>
          <t>Não informado</t>
        </is>
      </c>
      <c r="R12" s="4" t="inlineStr">
        <is>
          <t>Não informado</t>
        </is>
      </c>
      <c r="S12" s="4" t="inlineStr">
        <is>
          <t>Endereço específico não recuperado; referência: região de Jiefangbei / Hongyadong, Chongqing, China</t>
        </is>
      </c>
      <c r="T12" s="4" t="inlineStr">
        <is>
          <t>Não informado</t>
        </is>
      </c>
      <c r="U12" s="4" t="inlineStr">
        <is>
          <t>Dados de reserva específicos não recuperados no momento; não preencher com suposição.</t>
        </is>
      </c>
      <c r="V12" s="4" t="inlineStr">
        <is>
          <t>MESTRE HOTÉIS 16 — conferência; ficha visual / confirmação preservada</t>
        </is>
      </c>
    </row>
    <row r="13">
      <c r="A13" s="4" t="n">
        <v>9</v>
      </c>
      <c r="B13" s="4" t="inlineStr">
        <is>
          <t>Fenghuang</t>
        </is>
      </c>
      <c r="C13" s="4" t="inlineStr">
        <is>
          <t>01–02/11/2026</t>
        </is>
      </c>
      <c r="D13" s="4" t="inlineStr">
        <is>
          <t>Stay at Maomao River View Homestay</t>
        </is>
      </c>
      <c r="E13" s="4" t="inlineStr">
        <is>
          <t>PAGO</t>
        </is>
      </c>
      <c r="F13" s="4" t="inlineStr">
        <is>
          <t>JÁ PAGO</t>
        </is>
      </c>
      <c r="G13" s="4" t="inlineStr">
        <is>
          <t>NÃO — sem refeições</t>
        </is>
      </c>
      <c r="H13" s="4" t="inlineStr">
        <is>
          <t>SIM — CNY 200 (~R$ 153,54)</t>
        </is>
      </c>
      <c r="I13" s="4" t="inlineStr">
        <is>
          <t>Banheiro ocidental obrigatório; depósito no check-in, com reembolso em 2–4 semanas quando aplicável.</t>
        </is>
      </c>
      <c r="J13" s="5" t="n">
        <v>195.5</v>
      </c>
      <c r="K13" s="5" t="n">
        <v>195.5</v>
      </c>
      <c r="L13" s="5">
        <f>IF(OR(J13="",K13=""),"",K13-J13)</f>
        <v/>
      </c>
      <c r="M13" s="4" t="inlineStr">
        <is>
          <t>Não recuperado</t>
        </is>
      </c>
      <c r="N13" s="4" t="inlineStr">
        <is>
          <t>Conforme reserva — banheiro sanitário ocidental obrigatório</t>
        </is>
      </c>
      <c r="O13" s="4" t="n">
        <v>2</v>
      </c>
      <c r="P13" s="4" t="inlineStr">
        <is>
          <t>Não informado</t>
        </is>
      </c>
      <c r="Q13" s="4" t="inlineStr">
        <is>
          <t>CNY 200 (~R$ 153,54) no check-in</t>
        </is>
      </c>
      <c r="R13" s="4" t="inlineStr">
        <is>
          <t>Não informado</t>
        </is>
      </c>
      <c r="S13" s="4" t="inlineStr">
        <is>
          <t>No. 36 Laocai Street, Tuojiang Town, Fenghuang County, Hunan, China</t>
        </is>
      </c>
      <c r="T13" s="4" t="inlineStr">
        <is>
          <t>Não informado</t>
        </is>
      </c>
      <c r="U13" s="4" t="inlineStr">
        <is>
          <t>Depósito pode ser em dinheiro, cartão, débito ou terceiro; reembolso não em dinheiro em 2–4 semanas. Check-in após 14:00; check-out antes de 12:00.</t>
        </is>
      </c>
      <c r="V13" s="4" t="inlineStr">
        <is>
          <t>MESTRE HOTÉIS 16 — conferência; ficha visual / confirmação preservada</t>
        </is>
      </c>
    </row>
    <row r="14">
      <c r="A14" s="4" t="n">
        <v>10</v>
      </c>
      <c r="B14" s="4" t="inlineStr">
        <is>
          <t>Zhangjiajie</t>
        </is>
      </c>
      <c r="C14" s="4" t="inlineStr">
        <is>
          <t>02–04/11/2026</t>
        </is>
      </c>
      <c r="D14" s="4" t="inlineStr">
        <is>
          <t>Yunfu Garden Hotel — Tianmen Cableway</t>
        </is>
      </c>
      <c r="E14" s="4" t="inlineStr">
        <is>
          <t>PAGO</t>
        </is>
      </c>
      <c r="F14" s="4" t="inlineStr">
        <is>
          <t>JÁ PAGO</t>
        </is>
      </c>
      <c r="G14" s="4" t="inlineStr">
        <is>
          <t>SIM — café da manhã para 2 hóspedes/quarto nos 2 dias</t>
        </is>
      </c>
      <c r="H14" s="4" t="inlineStr">
        <is>
          <t>Não informado</t>
        </is>
      </c>
      <c r="I14" s="4" t="inlineStr">
        <is>
          <t>R$ 285,12; ficha baseada na reserva e foto enviada.</t>
        </is>
      </c>
      <c r="J14" s="5" t="n">
        <v>285.12</v>
      </c>
      <c r="K14" s="5" t="n">
        <v>285.12</v>
      </c>
      <c r="L14" s="5">
        <f>IF(OR(J14="",K14=""),"",K14-J14)</f>
        <v/>
      </c>
      <c r="M14" s="4" t="inlineStr">
        <is>
          <t>Não recuperado</t>
        </is>
      </c>
      <c r="N14" s="4" t="inlineStr">
        <is>
          <t>Não recuperado</t>
        </is>
      </c>
      <c r="O14" s="4" t="n">
        <v>2</v>
      </c>
      <c r="P14" s="4" t="inlineStr">
        <is>
          <t>Não informado</t>
        </is>
      </c>
      <c r="Q14" s="4" t="inlineStr">
        <is>
          <t>Não informado</t>
        </is>
      </c>
      <c r="R14" s="4" t="inlineStr">
        <is>
          <t>Não informado</t>
        </is>
      </c>
      <c r="S14" s="4" t="inlineStr">
        <is>
          <t>Endereço específico não recuperado; referência: região da estação do Teleférico de Tianmen, Zhangjiajie, Hunan, China</t>
        </is>
      </c>
      <c r="T14" s="4" t="inlineStr">
        <is>
          <t>Não informado</t>
        </is>
      </c>
      <c r="U14" s="4" t="inlineStr">
        <is>
          <t>Acessos finais dependem da programação; dados de reserva não recuperados.</t>
        </is>
      </c>
      <c r="V14" s="4" t="inlineStr">
        <is>
          <t>MESTRE HOTÉIS 16 — conferência; ficha visual / confirmação preservada</t>
        </is>
      </c>
    </row>
    <row r="15">
      <c r="A15" s="4" t="n">
        <v>11</v>
      </c>
      <c r="B15" s="4" t="inlineStr">
        <is>
          <t>Furong</t>
        </is>
      </c>
      <c r="C15" s="4" t="inlineStr">
        <is>
          <t>04–05/11/2026</t>
        </is>
      </c>
      <c r="D15" s="4" t="inlineStr">
        <is>
          <t>Tuwang Palace — Eight Halls</t>
        </is>
      </c>
      <c r="E15" s="4" t="inlineStr">
        <is>
          <t>PAGAR DEPOIS</t>
        </is>
      </c>
      <c r="F15" s="4" t="inlineStr">
        <is>
          <t>01/11/2026</t>
        </is>
      </c>
      <c r="G15" s="4" t="inlineStr">
        <is>
          <t>SIM — café da manhã</t>
        </is>
      </c>
      <c r="H15" s="4" t="inlineStr">
        <is>
          <t>Não informado</t>
        </is>
      </c>
      <c r="I15" s="4" t="inlineStr">
        <is>
          <t>Cobrança no cartão Mastercard final 8517</t>
        </is>
      </c>
      <c r="J15" s="5" t="n">
        <v>663</v>
      </c>
      <c r="K15" s="5" t="n">
        <v>663</v>
      </c>
      <c r="L15" s="5">
        <f>IF(OR(J15="",K15=""),"",K15-J15)</f>
        <v/>
      </c>
      <c r="M15" s="4" t="inlineStr">
        <is>
          <t>Não informado</t>
        </is>
      </c>
      <c r="N15" s="4" t="inlineStr">
        <is>
          <t>Pavilhão Feishui — Quarto King com vista para cachoeira 180º e varanda</t>
        </is>
      </c>
      <c r="O15" s="4" t="n">
        <v>2</v>
      </c>
      <c r="P15" s="4" t="inlineStr">
        <is>
          <t>Não informado</t>
        </is>
      </c>
      <c r="Q15" s="4" t="inlineStr">
        <is>
          <t>Não informado</t>
        </is>
      </c>
      <c r="R15" s="4" t="inlineStr">
        <is>
          <t>Não informado</t>
        </is>
      </c>
      <c r="S15" s="4" t="inlineStr">
        <is>
          <t>No. 1, Zoumaping Village Group, New District, Tingtao Road, Furong Town, Yongshun, Hunan, 416707, China</t>
        </is>
      </c>
      <c r="T15" s="4" t="inlineStr">
        <is>
          <t>Não informado</t>
        </is>
      </c>
      <c r="U15" s="4" t="inlineStr">
        <is>
          <t>Hotel buscará vocês na estação de trem de alta velocidade. Em 31/10, informar trem, estação, horário, ponto de encontro e solicitar identificação do motorista.</t>
        </is>
      </c>
      <c r="V15" s="4" t="inlineStr">
        <is>
          <t>MESTRE HOTÉIS 16 — conferência; ficha visual / confirmação preservada</t>
        </is>
      </c>
    </row>
    <row r="16">
      <c r="A16" s="4" t="n">
        <v>12</v>
      </c>
      <c r="B16" s="4" t="inlineStr">
        <is>
          <t>Guilin</t>
        </is>
      </c>
      <c r="C16" s="4" t="inlineStr">
        <is>
          <t>05–06/11/2026</t>
        </is>
      </c>
      <c r="D16" s="4" t="inlineStr">
        <is>
          <t>Homeinn Selected — Two Rivers / Elephant Trunk Hill</t>
        </is>
      </c>
      <c r="E16" s="4" t="inlineStr">
        <is>
          <t>PAGO</t>
        </is>
      </c>
      <c r="F16" s="4" t="inlineStr">
        <is>
          <t>JÁ PAGO</t>
        </is>
      </c>
      <c r="G16" s="4" t="inlineStr">
        <is>
          <t>Não — refeições não incluídas</t>
        </is>
      </c>
      <c r="H16" s="4" t="inlineStr">
        <is>
          <t>Não</t>
        </is>
      </c>
      <c r="I16" s="4" t="inlineStr">
        <is>
          <t>R$ 192,25; confirmação mostra 'Pago R$ 192,25'.</t>
        </is>
      </c>
      <c r="J16" s="5" t="n">
        <v>192.25</v>
      </c>
      <c r="K16" s="5" t="n">
        <v>192.25</v>
      </c>
      <c r="L16" s="5">
        <f>IF(OR(J16="",K16=""),"",K16-J16)</f>
        <v/>
      </c>
      <c r="M16" s="4" t="inlineStr">
        <is>
          <t>1207314416258868</t>
        </is>
      </c>
      <c r="N16" s="4" t="inlineStr">
        <is>
          <t>Superior com 2 camas — 2 camas de casal</t>
        </is>
      </c>
      <c r="O16" s="4" t="n">
        <v>2</v>
      </c>
      <c r="P16" s="4" t="inlineStr">
        <is>
          <t>Não — café da manhã extra disponível</t>
        </is>
      </c>
      <c r="Q16" s="4" t="inlineStr">
        <is>
          <t>Não</t>
        </is>
      </c>
      <c r="R16" s="4" t="inlineStr">
        <is>
          <t>PAGO</t>
        </is>
      </c>
      <c r="S16" s="4" t="inlineStr">
        <is>
          <t>1st Floor, Building B, Guilin Department Store Building, No. 19 Tongquan Lane, Xiangshan District, Guilin, Guangxi, China</t>
        </is>
      </c>
      <c r="T16" s="4" t="inlineStr">
        <is>
          <t>Não informado</t>
        </is>
      </c>
      <c r="U16" s="4" t="inlineStr">
        <is>
          <t>Transfer disponível — consultar a propriedade. Cancelamento grátis até 05/11/2026 às 18:00; depois não reembolsável.</t>
        </is>
      </c>
      <c r="V16" s="4" t="inlineStr">
        <is>
          <t>MESTRE HOTÉIS 16 — conferência; ficha visual / confirmação preservada</t>
        </is>
      </c>
    </row>
    <row r="17">
      <c r="A17" s="4" t="n">
        <v>13</v>
      </c>
      <c r="B17" s="4" t="inlineStr">
        <is>
          <t>Yangshuo</t>
        </is>
      </c>
      <c r="C17" s="4" t="inlineStr">
        <is>
          <t>06–07/11/2026</t>
        </is>
      </c>
      <c r="D17" s="4" t="inlineStr">
        <is>
          <t>Muyunli — Yangshuo West Street</t>
        </is>
      </c>
      <c r="E17" s="4" t="inlineStr">
        <is>
          <t>NÃO — pagar depois</t>
        </is>
      </c>
      <c r="F17" s="4" t="inlineStr">
        <is>
          <t>04/11/2026</t>
        </is>
      </c>
      <c r="G17" s="4" t="inlineStr">
        <is>
          <t>Não — refeições não incluídas</t>
        </is>
      </c>
      <c r="H17" s="4" t="inlineStr">
        <is>
          <t>Não informado</t>
        </is>
      </c>
      <c r="I17" s="4" t="inlineStr">
        <is>
          <t>R$ 158,42; Visa final 2843; cobrança prevista em 04/11.</t>
        </is>
      </c>
      <c r="J17" s="5" t="n">
        <v>158.42</v>
      </c>
      <c r="K17" s="5" t="n">
        <v>158.42</v>
      </c>
      <c r="L17" s="5">
        <f>IF(OR(J17="",K17=""),"",K17-J17)</f>
        <v/>
      </c>
      <c r="M17" s="4" t="inlineStr">
        <is>
          <t>120731442095031</t>
        </is>
      </c>
      <c r="N17" s="4" t="inlineStr">
        <is>
          <t>Yunyi Mountain-View Twin Room — 2 camas de casal</t>
        </is>
      </c>
      <c r="O17" s="4" t="n">
        <v>2</v>
      </c>
      <c r="P17" s="4" t="inlineStr">
        <is>
          <t>Não — café da manhã extra disponível</t>
        </is>
      </c>
      <c r="Q17" s="4" t="inlineStr">
        <is>
          <t>Não informado</t>
        </is>
      </c>
      <c r="R17" s="4" t="inlineStr">
        <is>
          <t>Pagamento posterior — Visa final 2843; débito previsto em 04/11/2026</t>
        </is>
      </c>
      <c r="S17" s="4" t="inlineStr">
        <is>
          <t>No. 23 Fengming Road, Yangshuo County, Guilin, Guangxi, China</t>
        </is>
      </c>
      <c r="T17" s="4" t="inlineStr">
        <is>
          <t>Trip.com</t>
        </is>
      </c>
      <c r="U17" s="4" t="inlineStr">
        <is>
          <t>Transfer disponível — consultar a propriedade. Cancelamento grátis até 06/11/2026 às 18:00; depois não reembolsável.</t>
        </is>
      </c>
      <c r="V17" s="4" t="inlineStr">
        <is>
          <t>MESTRE HOTÉIS 16 — conferência; ficha visual / confirmação preservada</t>
        </is>
      </c>
    </row>
    <row r="18">
      <c r="A18" s="6" t="n">
        <v>14</v>
      </c>
      <c r="B18" s="6" t="inlineStr">
        <is>
          <t>Shenzhen</t>
        </is>
      </c>
      <c r="C18" s="6" t="inlineStr">
        <is>
          <t>07–09/11/2026</t>
        </is>
      </c>
      <c r="D18" s="6" t="inlineStr">
        <is>
          <t>Echarm Hotel — Central Park/Huaqiangbei</t>
        </is>
      </c>
      <c r="E18" s="6" t="inlineStr">
        <is>
          <t>PAGAR DEPOIS</t>
        </is>
      </c>
      <c r="F18" s="6" t="inlineStr">
        <is>
          <t>04/11/2026</t>
        </is>
      </c>
      <c r="G18" s="6" t="inlineStr">
        <is>
          <t>Não — refeições não incluídas; café extra</t>
        </is>
      </c>
      <c r="H18" s="6" t="inlineStr">
        <is>
          <t>Não</t>
        </is>
      </c>
      <c r="I18" s="6" t="inlineStr">
        <is>
          <t>Cobrança no cartão Visa final 7085</t>
        </is>
      </c>
      <c r="J18" s="7" t="n">
        <v>469</v>
      </c>
      <c r="K18" s="7" t="n">
        <v>469.27</v>
      </c>
      <c r="L18" s="7">
        <f>IF(OR(J18="",K18=""),"",K18-J18)</f>
        <v/>
      </c>
      <c r="M18" s="6" t="inlineStr">
        <is>
          <t>1207314421469885</t>
        </is>
      </c>
      <c r="N18" s="6" t="inlineStr">
        <is>
          <t>Quarto Duplo Standard — 2 camas de solteiro</t>
        </is>
      </c>
      <c r="O18" s="6" t="n">
        <v>2</v>
      </c>
      <c r="P18" s="6" t="inlineStr">
        <is>
          <t>Não — refeições não incluídas</t>
        </is>
      </c>
      <c r="Q18" s="6" t="inlineStr">
        <is>
          <t>Não informado</t>
        </is>
      </c>
      <c r="R18" s="6" t="inlineStr">
        <is>
          <t>Pagamento posterior — Visa final 7085; débito previsto em 05/11/2026</t>
        </is>
      </c>
      <c r="S18" s="6" t="inlineStr">
        <is>
          <t>No. 101, Building 1, Haiwai Zhuangshi Building, No. 122 Zhenhua Road, Huahang Community, Huaqiangbei Subdistrict, Futian District, Shenzhen, Guangdong, China</t>
        </is>
      </c>
      <c r="T18" s="6" t="inlineStr">
        <is>
          <t>Trip.com</t>
        </is>
      </c>
      <c r="U18" s="6" t="inlineStr">
        <is>
          <t>Café da manhã extra: CNY 59 por adulto (07–10/11), opções ocidentais, chinesas e halal. Transfer não disponível pelo hotel. Cancelamento grátis até 07/11/2026 às 18:00; depois taxa de R$ 242,75.</t>
        </is>
      </c>
      <c r="V18" s="6" t="inlineStr">
        <is>
          <t>MESTRE HOTÉIS 16 — conferência; ficha visual / confirmação preservada</t>
        </is>
      </c>
    </row>
    <row r="19">
      <c r="A19" s="4" t="n">
        <v>15</v>
      </c>
      <c r="B19" s="4" t="inlineStr">
        <is>
          <t>Madrid</t>
        </is>
      </c>
      <c r="C19" s="4" t="inlineStr">
        <is>
          <t>10–11/11/2026</t>
        </is>
      </c>
      <c r="D19" s="4" t="inlineStr">
        <is>
          <t>New Point Opera</t>
        </is>
      </c>
      <c r="E19" s="4" t="inlineStr">
        <is>
          <t>PAGAR DEPOIS</t>
        </is>
      </c>
      <c r="F19" s="4" t="inlineStr">
        <is>
          <t>06/11/2026</t>
        </is>
      </c>
      <c r="G19" s="4" t="inlineStr">
        <is>
          <t>Não</t>
        </is>
      </c>
      <c r="H19" s="4" t="inlineStr">
        <is>
          <t>Não informado</t>
        </is>
      </c>
      <c r="I19" s="4" t="inlineStr">
        <is>
          <t>Cobrança no cartão Visa final 2843 | Reserva feita pelo Booking</t>
        </is>
      </c>
      <c r="J19" s="5" t="n">
        <v>706</v>
      </c>
      <c r="K19" s="5" t="n">
        <v>706</v>
      </c>
      <c r="L19" s="5">
        <f>IF(OR(J19="",K19=""),"",K19-J19)</f>
        <v/>
      </c>
      <c r="M19" s="4" t="inlineStr">
        <is>
          <t>Não informado</t>
        </is>
      </c>
      <c r="N19" s="4" t="inlineStr">
        <is>
          <t>Não informado</t>
        </is>
      </c>
      <c r="O19" s="4" t="n">
        <v>2</v>
      </c>
      <c r="P19" s="4" t="inlineStr">
        <is>
          <t>Não informado</t>
        </is>
      </c>
      <c r="Q19" s="4" t="inlineStr">
        <is>
          <t>Não informado</t>
        </is>
      </c>
      <c r="R19" s="4" t="inlineStr">
        <is>
          <t>Não informado</t>
        </is>
      </c>
      <c r="S19" s="4" t="inlineStr">
        <is>
          <t>Calle de las Hileras, 8, Centro, Madrid 28013, Espanha</t>
        </is>
      </c>
      <c r="T19" s="4" t="inlineStr">
        <is>
          <t>Booking</t>
        </is>
      </c>
      <c r="U19" s="4" t="inlineStr">
        <is>
          <t>Valor aproximado. Hospedagem no Centro de Madrid, próxima à região da Ópera.</t>
        </is>
      </c>
      <c r="V19" s="4" t="inlineStr">
        <is>
          <t>MESTRE HOTÉIS 16 — conferência; ficha visual / confirmação preservada</t>
        </is>
      </c>
    </row>
    <row r="20">
      <c r="A20" s="4" t="n">
        <v>16</v>
      </c>
      <c r="B20" s="4" t="inlineStr">
        <is>
          <t>Guarulhos / São Paulo</t>
        </is>
      </c>
      <c r="C20" s="4" t="inlineStr">
        <is>
          <t>11–12/11/2026</t>
        </is>
      </c>
      <c r="D20" s="4" t="inlineStr">
        <is>
          <t>Hotel Internacional Guarulhos</t>
        </is>
      </c>
      <c r="E20" s="4" t="inlineStr">
        <is>
          <t>NÃO INFORMADO</t>
        </is>
      </c>
      <c r="F20" s="4" t="inlineStr">
        <is>
          <t>NÃO INFORMADO</t>
        </is>
      </c>
      <c r="G20" s="4" t="inlineStr">
        <is>
          <t>Não informado</t>
        </is>
      </c>
      <c r="H20" s="4" t="inlineStr">
        <is>
          <t>Não informado</t>
        </is>
      </c>
      <c r="I20" s="4" t="inlineStr">
        <is>
          <t>Nova 16ª hospedagem; confirmação 6691 237 587; PIN 1905.</t>
        </is>
      </c>
      <c r="J20" s="5" t="n">
        <v>317.57</v>
      </c>
      <c r="K20" s="5" t="n">
        <v>317.57</v>
      </c>
      <c r="L20" s="5">
        <f>IF(OR(J20="",K20=""),"",K20-J20)</f>
        <v/>
      </c>
      <c r="M20" s="4" t="inlineStr">
        <is>
          <t>6691 237 587</t>
        </is>
      </c>
      <c r="N20" s="4" t="inlineStr">
        <is>
          <t>Quarto Duplo</t>
        </is>
      </c>
      <c r="O20" s="4" t="n">
        <v>2</v>
      </c>
      <c r="P20" s="4" t="inlineStr">
        <is>
          <t>Não informado</t>
        </is>
      </c>
      <c r="Q20" s="4" t="inlineStr">
        <is>
          <t>Não informado</t>
        </is>
      </c>
      <c r="R20" s="4" t="inlineStr">
        <is>
          <t>Não informado</t>
        </is>
      </c>
      <c r="S20" s="4" t="inlineStr">
        <is>
          <t>Avenida João Cavalari, Guarulhos, SP — 07030-020, Brasil</t>
        </is>
      </c>
      <c r="T20" s="4" t="inlineStr">
        <is>
          <t>+55 11 4040 6820</t>
        </is>
      </c>
      <c r="U20" s="4" t="inlineStr">
        <is>
          <t>Código PIN 1905. Check-in 11/11/2026 14:00–23:30; check-out 12/11/2026 12:00–13:00. Dados transcritos do print da confirmação enviado pela Magali.</t>
        </is>
      </c>
      <c r="V20" s="4" t="inlineStr">
        <is>
          <t>MESTRE HOTÉIS 16 — conferência; ficha visual / confirmação preservada</t>
        </is>
      </c>
    </row>
  </sheetData>
  <autoFilter ref="A4:V20"/>
  <mergeCells count="2">
    <mergeCell ref="A2:V2"/>
    <mergeCell ref="A1:V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40" customWidth="1" min="4" max="4"/>
    <col width="22" customWidth="1" min="5" max="5"/>
    <col width="24" customWidth="1" min="6" max="6"/>
    <col width="32" customWidth="1" min="7" max="7"/>
    <col width="28" customWidth="1" min="8" max="8"/>
    <col width="70" customWidth="1" min="9" max="9"/>
  </cols>
  <sheetData>
    <row r="1">
      <c r="A1" s="8" t="inlineStr">
        <is>
          <t>CONTROLE ORIGINAL RECUPERADO — 15 HOSPEDAGENS</t>
        </is>
      </c>
    </row>
    <row r="2">
      <c r="A2" t="inlineStr">
        <is>
          <t>Conteúdo preservado da planilha Mestre_Hoteis_15_Hospedagens_Controle_Pagamentos_2026.xlsx.</t>
        </is>
      </c>
    </row>
    <row r="3">
      <c r="A3" s="9" t="inlineStr">
        <is>
          <t>Nº</t>
        </is>
      </c>
      <c r="B3" s="9" t="inlineStr">
        <is>
          <t>Cidade</t>
        </is>
      </c>
      <c r="C3" s="9" t="inlineStr">
        <is>
          <t>Período</t>
        </is>
      </c>
      <c r="D3" s="9" t="inlineStr">
        <is>
          <t>Hospedagem</t>
        </is>
      </c>
      <c r="E3" s="9" t="inlineStr">
        <is>
          <t>Status do pagamento</t>
        </is>
      </c>
      <c r="F3" s="9" t="inlineStr">
        <is>
          <t>Data do lançamento/pagamento</t>
        </is>
      </c>
      <c r="G3" s="9" t="inlineStr">
        <is>
          <t>Café da manhã</t>
        </is>
      </c>
      <c r="H3" s="9" t="inlineStr">
        <is>
          <t>Depósito</t>
        </is>
      </c>
      <c r="I3" s="9" t="inlineStr">
        <is>
          <t>Observação</t>
        </is>
      </c>
    </row>
    <row r="4">
      <c r="A4" s="10" t="n">
        <v>1</v>
      </c>
      <c r="B4" s="10" t="inlineStr">
        <is>
          <t>Madrid</t>
        </is>
      </c>
      <c r="C4" s="10" t="inlineStr">
        <is>
          <t>18/10/2026</t>
        </is>
      </c>
      <c r="D4" s="10" t="inlineStr">
        <is>
          <t>Clement Barajas</t>
        </is>
      </c>
      <c r="E4" s="10" t="inlineStr">
        <is>
          <t>NÃO — pagar no hotel</t>
        </is>
      </c>
      <c r="F4" s="10" t="inlineStr">
        <is>
          <t>18/10/2026</t>
        </is>
      </c>
      <c r="G4" s="10" t="inlineStr">
        <is>
          <t>Não informado</t>
        </is>
      </c>
      <c r="H4" s="10" t="inlineStr">
        <is>
          <t>Não</t>
        </is>
      </c>
      <c r="I4" s="10" t="inlineStr">
        <is>
          <t>Day use; reserva 56U69US1; valor €64 no print.</t>
        </is>
      </c>
    </row>
    <row r="5">
      <c r="A5" s="10" t="n">
        <v>2</v>
      </c>
      <c r="B5" s="10" t="inlineStr">
        <is>
          <t>Doha</t>
        </is>
      </c>
      <c r="C5" s="10" t="inlineStr">
        <is>
          <t>19/10/2026</t>
        </is>
      </c>
      <c r="D5" s="10" t="inlineStr">
        <is>
          <t>Al Najada Hotel By Tivoli</t>
        </is>
      </c>
      <c r="E5" s="10" t="inlineStr">
        <is>
          <t>PAGO</t>
        </is>
      </c>
      <c r="F5" s="10" t="inlineStr">
        <is>
          <t>JÁ PAGO</t>
        </is>
      </c>
      <c r="G5" s="10" t="inlineStr">
        <is>
          <t>Não</t>
        </is>
      </c>
      <c r="H5" s="10" t="inlineStr">
        <is>
          <t>Não</t>
        </is>
      </c>
      <c r="I5" s="10" t="inlineStr">
        <is>
          <t>Reserva pela Qatar Visitantes; pagamento confirmado; café da manhã não incluído.</t>
        </is>
      </c>
    </row>
    <row r="6">
      <c r="A6" s="10" t="n">
        <v>3</v>
      </c>
      <c r="B6" s="10" t="inlineStr">
        <is>
          <t>Hong Kong</t>
        </is>
      </c>
      <c r="C6" s="10" t="inlineStr">
        <is>
          <t>20–21/10/2026</t>
        </is>
      </c>
      <c r="D6" s="10" t="inlineStr">
        <is>
          <t>The Salvation Army — Booth Lodge</t>
        </is>
      </c>
      <c r="E6" s="10" t="inlineStr">
        <is>
          <t>PAGO</t>
        </is>
      </c>
      <c r="F6" s="10" t="inlineStr">
        <is>
          <t>JÁ PAGO</t>
        </is>
      </c>
      <c r="G6" s="10" t="inlineStr">
        <is>
          <t>Não</t>
        </is>
      </c>
      <c r="H6" s="10" t="inlineStr">
        <is>
          <t>Não</t>
        </is>
      </c>
      <c r="I6" s="10" t="inlineStr">
        <is>
          <t>Reserva pelo Trip.com; pagamento confirmado. Café da manhã não está incluído na reserva; pode ser oferecido pelo hotel à parte. | Reserva feita pelo Booking</t>
        </is>
      </c>
    </row>
    <row r="7">
      <c r="A7" s="10" t="n">
        <v>4</v>
      </c>
      <c r="B7" s="10" t="inlineStr">
        <is>
          <t>Xangai</t>
        </is>
      </c>
      <c r="C7" s="10" t="inlineStr">
        <is>
          <t>21–24/10/2026</t>
        </is>
      </c>
      <c r="D7" s="10" t="inlineStr">
        <is>
          <t>Homeinn Selected — Nanjing Road/Bund</t>
        </is>
      </c>
      <c r="E7" s="10" t="inlineStr">
        <is>
          <t>PAGAR DEPOIS</t>
        </is>
      </c>
      <c r="F7" s="10" t="inlineStr">
        <is>
          <t>18/10/2026</t>
        </is>
      </c>
      <c r="G7" s="10" t="inlineStr">
        <is>
          <t>Não — refeições não incluídas</t>
        </is>
      </c>
      <c r="H7" s="10" t="inlineStr">
        <is>
          <t>Não</t>
        </is>
      </c>
      <c r="I7" s="10" t="inlineStr">
        <is>
          <t>Cobrança no cartão Visa final 6614</t>
        </is>
      </c>
    </row>
    <row r="8">
      <c r="A8" s="10" t="n">
        <v>5</v>
      </c>
      <c r="B8" s="10" t="inlineStr">
        <is>
          <t>Pequim</t>
        </is>
      </c>
      <c r="C8" s="10" t="inlineStr">
        <is>
          <t>24–27/10/2026</t>
        </is>
      </c>
      <c r="D8" s="10" t="inlineStr">
        <is>
          <t>L Hotel — Tiananmen/Qianmen</t>
        </is>
      </c>
      <c r="E8" s="10" t="inlineStr">
        <is>
          <t>PAGAR DEPOIS</t>
        </is>
      </c>
      <c r="F8" s="10" t="inlineStr">
        <is>
          <t>21/10/2026</t>
        </is>
      </c>
      <c r="G8" s="10" t="inlineStr">
        <is>
          <t>Não — refeições não incluídas</t>
        </is>
      </c>
      <c r="H8" s="10" t="inlineStr">
        <is>
          <t>Não</t>
        </is>
      </c>
      <c r="I8" s="10" t="inlineStr">
        <is>
          <t>Cobrança no cartão Visa final 2843</t>
        </is>
      </c>
    </row>
    <row r="9">
      <c r="A9" s="10" t="n">
        <v>6</v>
      </c>
      <c r="B9" s="10" t="inlineStr">
        <is>
          <t>Xi'an</t>
        </is>
      </c>
      <c r="C9" s="10" t="inlineStr">
        <is>
          <t>27–29/10/2026</t>
        </is>
      </c>
      <c r="D9" s="10" t="inlineStr">
        <is>
          <t>Huangchengyi Hotel</t>
        </is>
      </c>
      <c r="E9" s="10" t="inlineStr">
        <is>
          <t>PAGAR DEPOIS</t>
        </is>
      </c>
      <c r="F9" s="10" t="inlineStr">
        <is>
          <t>24/10/2026</t>
        </is>
      </c>
      <c r="G9" s="10" t="inlineStr">
        <is>
          <t>SIM — café da manhã para 2</t>
        </is>
      </c>
      <c r="H9" s="10" t="inlineStr">
        <is>
          <t>SIM — CNY 100 (~R$ 76,74)</t>
        </is>
      </c>
      <c r="I9" s="10" t="inlineStr">
        <is>
          <t>Cobrança no cartão Mastercard final 8517</t>
        </is>
      </c>
    </row>
    <row r="10">
      <c r="A10" s="10" t="n">
        <v>7</v>
      </c>
      <c r="B10" s="10" t="inlineStr">
        <is>
          <t>Chengdu</t>
        </is>
      </c>
      <c r="C10" s="10" t="inlineStr">
        <is>
          <t>29–30/10/2026</t>
        </is>
      </c>
      <c r="D10" s="10" t="inlineStr">
        <is>
          <t>Homeinn · neo — Fuqin</t>
        </is>
      </c>
      <c r="E10" s="10" t="inlineStr">
        <is>
          <t>PAGAR DEPOIS</t>
        </is>
      </c>
      <c r="F10" s="10" t="inlineStr">
        <is>
          <t>26/10/2026</t>
        </is>
      </c>
      <c r="G10" s="10" t="inlineStr">
        <is>
          <t>SIM — café da manhã para 2</t>
        </is>
      </c>
      <c r="H10" s="10" t="inlineStr">
        <is>
          <t>Não informado</t>
        </is>
      </c>
      <c r="I10" s="10" t="inlineStr">
        <is>
          <t>Cobrança no cartão final 8412</t>
        </is>
      </c>
    </row>
    <row r="11">
      <c r="A11" s="10" t="n">
        <v>8</v>
      </c>
      <c r="B11" s="10" t="inlineStr">
        <is>
          <t>Chongqing</t>
        </is>
      </c>
      <c r="C11" s="10" t="inlineStr">
        <is>
          <t>30/10–01/11/2026</t>
        </is>
      </c>
      <c r="D11" s="10" t="inlineStr">
        <is>
          <t>ARISTON AIRESTON — Jiefangbei/Hongyadong</t>
        </is>
      </c>
      <c r="E11" s="10" t="inlineStr">
        <is>
          <t>PAGAR DEPOIS</t>
        </is>
      </c>
      <c r="F11" s="10" t="inlineStr">
        <is>
          <t>26/10/2026</t>
        </is>
      </c>
      <c r="G11" s="10" t="inlineStr">
        <is>
          <t>Não — refeições não incluídas</t>
        </is>
      </c>
      <c r="H11" s="10" t="inlineStr">
        <is>
          <t>Não informado</t>
        </is>
      </c>
      <c r="I11" s="10" t="inlineStr">
        <is>
          <t>Cobrança no cartão final 8517</t>
        </is>
      </c>
    </row>
    <row r="12">
      <c r="A12" s="10" t="n">
        <v>9</v>
      </c>
      <c r="B12" s="10" t="inlineStr">
        <is>
          <t>Fenghuang</t>
        </is>
      </c>
      <c r="C12" s="10" t="inlineStr">
        <is>
          <t>01–02/11/2026</t>
        </is>
      </c>
      <c r="D12" s="10" t="inlineStr">
        <is>
          <t>Stay at Maomao River View Homestay</t>
        </is>
      </c>
      <c r="E12" s="10" t="inlineStr">
        <is>
          <t>PAGO</t>
        </is>
      </c>
      <c r="F12" s="10" t="inlineStr">
        <is>
          <t>JÁ PAGO</t>
        </is>
      </c>
      <c r="G12" s="10" t="inlineStr">
        <is>
          <t>NÃO — sem refeições</t>
        </is>
      </c>
      <c r="H12" s="10" t="inlineStr">
        <is>
          <t>SIM — CNY 200 (~R$ 153,54)</t>
        </is>
      </c>
      <c r="I12" s="10" t="inlineStr">
        <is>
          <t>Banheiro ocidental obrigatório; depósito no check-in, com reembolso em 2–4 semanas quando aplicável.</t>
        </is>
      </c>
    </row>
    <row r="13">
      <c r="A13" s="10" t="n">
        <v>10</v>
      </c>
      <c r="B13" s="10" t="inlineStr">
        <is>
          <t>Zhangjiajie</t>
        </is>
      </c>
      <c r="C13" s="10" t="inlineStr">
        <is>
          <t>02–04/11/2026</t>
        </is>
      </c>
      <c r="D13" s="10" t="inlineStr">
        <is>
          <t>Yunfu Garden Hotel — Tianmen Cableway</t>
        </is>
      </c>
      <c r="E13" s="10" t="inlineStr">
        <is>
          <t>PAGO</t>
        </is>
      </c>
      <c r="F13" s="10" t="inlineStr">
        <is>
          <t>JÁ PAGO</t>
        </is>
      </c>
      <c r="G13" s="10" t="inlineStr">
        <is>
          <t>SIM — café da manhã para 2 hóspedes/quarto nos 2 dias</t>
        </is>
      </c>
      <c r="H13" s="10" t="inlineStr">
        <is>
          <t>Não informado</t>
        </is>
      </c>
      <c r="I13" s="10" t="inlineStr">
        <is>
          <t>R$ 285,12; ficha baseada na reserva e foto enviada.</t>
        </is>
      </c>
    </row>
    <row r="14">
      <c r="A14" s="10" t="n">
        <v>11</v>
      </c>
      <c r="B14" s="10" t="inlineStr">
        <is>
          <t>Furong</t>
        </is>
      </c>
      <c r="C14" s="10" t="inlineStr">
        <is>
          <t>04–05/11/2026</t>
        </is>
      </c>
      <c r="D14" s="10" t="inlineStr">
        <is>
          <t>Tuwang Palace — Eight Halls</t>
        </is>
      </c>
      <c r="E14" s="10" t="inlineStr">
        <is>
          <t>PAGAR DEPOIS</t>
        </is>
      </c>
      <c r="F14" s="10" t="inlineStr">
        <is>
          <t>01/11/2026</t>
        </is>
      </c>
      <c r="G14" s="10" t="inlineStr">
        <is>
          <t>SIM — café da manhã</t>
        </is>
      </c>
      <c r="H14" s="10" t="inlineStr">
        <is>
          <t>Não informado</t>
        </is>
      </c>
      <c r="I14" s="10" t="inlineStr">
        <is>
          <t>Cobrança no cartão Mastercard final 8517</t>
        </is>
      </c>
    </row>
    <row r="15">
      <c r="A15" s="10" t="n">
        <v>12</v>
      </c>
      <c r="B15" s="10" t="inlineStr">
        <is>
          <t>Guilin</t>
        </is>
      </c>
      <c r="C15" s="10" t="inlineStr">
        <is>
          <t>05–06/11/2026</t>
        </is>
      </c>
      <c r="D15" s="10" t="inlineStr">
        <is>
          <t>Homeinn Selected — Two Rivers / Elephant Trunk Hill</t>
        </is>
      </c>
      <c r="E15" s="10" t="inlineStr">
        <is>
          <t>PAGO</t>
        </is>
      </c>
      <c r="F15" s="10" t="inlineStr">
        <is>
          <t>JÁ PAGO</t>
        </is>
      </c>
      <c r="G15" s="10" t="inlineStr">
        <is>
          <t>Não — refeições não incluídas</t>
        </is>
      </c>
      <c r="H15" s="10" t="inlineStr">
        <is>
          <t>Não</t>
        </is>
      </c>
      <c r="I15" s="10" t="inlineStr">
        <is>
          <t>R$ 192,25; confirmação mostra 'Pago R$ 192,25'.</t>
        </is>
      </c>
    </row>
    <row r="16">
      <c r="A16" s="10" t="n">
        <v>13</v>
      </c>
      <c r="B16" s="10" t="inlineStr">
        <is>
          <t>Yangshuo</t>
        </is>
      </c>
      <c r="C16" s="10" t="inlineStr">
        <is>
          <t>06–07/11/2026</t>
        </is>
      </c>
      <c r="D16" s="10" t="inlineStr">
        <is>
          <t>Muyunli — Yangshuo West Street</t>
        </is>
      </c>
      <c r="E16" s="10" t="inlineStr">
        <is>
          <t>NÃO — pagar depois</t>
        </is>
      </c>
      <c r="F16" s="10" t="inlineStr">
        <is>
          <t>04/11/2026</t>
        </is>
      </c>
      <c r="G16" s="10" t="inlineStr">
        <is>
          <t>Não — refeições não incluídas</t>
        </is>
      </c>
      <c r="H16" s="10" t="inlineStr">
        <is>
          <t>Não informado</t>
        </is>
      </c>
      <c r="I16" s="10" t="inlineStr">
        <is>
          <t>R$ 158,42; Visa final 2843; cobrança prevista em 04/11.</t>
        </is>
      </c>
    </row>
    <row r="17">
      <c r="A17" s="10" t="n">
        <v>14</v>
      </c>
      <c r="B17" s="10" t="inlineStr">
        <is>
          <t>Shenzhen</t>
        </is>
      </c>
      <c r="C17" s="10" t="inlineStr">
        <is>
          <t>07–09/11/2026</t>
        </is>
      </c>
      <c r="D17" s="10" t="inlineStr">
        <is>
          <t>Echarm Hotel — Central Park/Huaqiangbei</t>
        </is>
      </c>
      <c r="E17" s="10" t="inlineStr">
        <is>
          <t>PAGAR DEPOIS</t>
        </is>
      </c>
      <c r="F17" s="10" t="inlineStr">
        <is>
          <t>04/11/2026</t>
        </is>
      </c>
      <c r="G17" s="10" t="inlineStr">
        <is>
          <t>Não — refeições não incluídas; café extra</t>
        </is>
      </c>
      <c r="H17" s="10" t="inlineStr">
        <is>
          <t>Não</t>
        </is>
      </c>
      <c r="I17" s="10" t="inlineStr">
        <is>
          <t>Cobrança no cartão Visa final 7085</t>
        </is>
      </c>
    </row>
    <row r="18">
      <c r="A18" s="10" t="n">
        <v>15</v>
      </c>
      <c r="B18" s="10" t="inlineStr">
        <is>
          <t>Madrid</t>
        </is>
      </c>
      <c r="C18" s="10" t="inlineStr">
        <is>
          <t>10–11/11/2026</t>
        </is>
      </c>
      <c r="D18" s="10" t="inlineStr">
        <is>
          <t>New Point Opera</t>
        </is>
      </c>
      <c r="E18" s="10" t="inlineStr">
        <is>
          <t>PAGAR DEPOIS</t>
        </is>
      </c>
      <c r="F18" s="10" t="inlineStr">
        <is>
          <t>06/11/2026</t>
        </is>
      </c>
      <c r="G18" s="10" t="inlineStr">
        <is>
          <t>Não</t>
        </is>
      </c>
      <c r="H18" s="10" t="inlineStr">
        <is>
          <t>Não informado</t>
        </is>
      </c>
      <c r="I18" s="10" t="inlineStr">
        <is>
          <t>Cobrança no cartão Visa final 2843 | Reserva feita pelo Booking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1" max="1"/>
    <col width="25" customWidth="1" min="2" max="2"/>
  </cols>
  <sheetData>
    <row r="1">
      <c r="A1" s="8" t="inlineStr">
        <is>
          <t>RESUMO — 16 HOSPEDAGENS</t>
        </is>
      </c>
    </row>
    <row r="2">
      <c r="A2" s="11" t="inlineStr">
        <is>
          <t>Situação</t>
        </is>
      </c>
      <c r="B2" s="11" t="inlineStr">
        <is>
          <t>Quantidade</t>
        </is>
      </c>
    </row>
    <row r="3">
      <c r="A3" t="inlineStr">
        <is>
          <t>PAGO</t>
        </is>
      </c>
      <c r="B3" s="12" t="n">
        <v>5</v>
      </c>
    </row>
    <row r="4">
      <c r="A4" t="inlineStr">
        <is>
          <t>PAGAR DEPOIS</t>
        </is>
      </c>
      <c r="B4" s="12" t="n">
        <v>9</v>
      </c>
    </row>
    <row r="5">
      <c r="A5" t="inlineStr">
        <is>
          <t>PAGAR NO HOTEL</t>
        </is>
      </c>
      <c r="B5" s="12" t="n">
        <v>1</v>
      </c>
    </row>
    <row r="6">
      <c r="A6" t="inlineStr">
        <is>
          <t>NÃO INFORMADO</t>
        </is>
      </c>
      <c r="B6" s="12" t="n">
        <v>1</v>
      </c>
    </row>
    <row r="7">
      <c r="B7" s="12" t="n"/>
    </row>
    <row r="8">
      <c r="A8" t="inlineStr">
        <is>
          <t>Total dos valores no MESTRE 16 (R$)</t>
        </is>
      </c>
      <c r="B8" s="13">
        <f>SUM('Nossos Hotéis'!K5:K20)</f>
        <v/>
      </c>
    </row>
    <row r="9">
      <c r="A9" t="inlineStr">
        <is>
          <t>Total dos valores do controle/informados (R$)</t>
        </is>
      </c>
      <c r="B9" s="13">
        <f>SUM('Nossos Hotéis'!J5:J20)</f>
        <v/>
      </c>
    </row>
    <row r="10">
      <c r="A10" t="inlineStr">
        <is>
          <t>Diferença acumulada Mestre - controle (R$)</t>
        </is>
      </c>
      <c r="B10" s="13">
        <f>SUM('Nossos Hotéis'!L5:L20)</f>
        <v/>
      </c>
    </row>
    <row r="11">
      <c r="A11" t="inlineStr">
        <is>
          <t>Total por pessoa — MESTRE 16 (R$)</t>
        </is>
      </c>
      <c r="B11">
        <f>B8/2</f>
        <v/>
      </c>
    </row>
    <row r="13">
      <c r="A13" t="inlineStr">
        <is>
          <t>Hotéis já pagos</t>
        </is>
      </c>
    </row>
    <row r="14">
      <c r="A14" t="inlineStr">
        <is>
          <t>Doha — Al Najada Hotel By Tivoli</t>
        </is>
      </c>
    </row>
    <row r="15">
      <c r="A15" t="inlineStr">
        <is>
          <t>Hong Kong — The Salvation Army — Booth Lodge</t>
        </is>
      </c>
    </row>
    <row r="16">
      <c r="A16" t="inlineStr">
        <is>
          <t>Fenghuang — Stay at Maomao River View Homestay</t>
        </is>
      </c>
    </row>
    <row r="17">
      <c r="A17" t="inlineStr">
        <is>
          <t>Zhangjiajie — Yunfu Garden Hotel — Tianmen Cableway</t>
        </is>
      </c>
    </row>
    <row r="18">
      <c r="A18" t="inlineStr">
        <is>
          <t>Guilin — Homeinn Selected — Two Rivers / Elephant Trunk Hill</t>
        </is>
      </c>
    </row>
    <row r="20">
      <c r="A20" t="inlineStr">
        <is>
          <t>CONFERÊNCIA IMPORTANTE</t>
        </is>
      </c>
    </row>
    <row r="21">
      <c r="A21" t="inlineStr">
        <is>
          <t>A planilha original tinha um resumo que somava 18 nas categorias. O resumo acima foi recalculado a partir das 15 linhas originais + a 16ª hospedagem, sem alterar as linhas originais.</t>
        </is>
      </c>
    </row>
    <row r="22">
      <c r="A22" s="14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65" customWidth="1" min="5" max="5"/>
  </cols>
  <sheetData>
    <row r="1">
      <c r="A1" s="8" t="inlineStr">
        <is>
          <t>CONFERÊNCIA DE VALORES — CONTROLE ORIGINAL × MESTRE 16</t>
        </is>
      </c>
    </row>
    <row r="2">
      <c r="A2" t="inlineStr">
        <is>
          <t>Os valores do controle original permanecem intactos. As diferenças são mostradas separadamente.</t>
        </is>
      </c>
    </row>
    <row r="4">
      <c r="A4" s="11" t="inlineStr">
        <is>
          <t>Cidade</t>
        </is>
      </c>
      <c r="B4" s="11" t="inlineStr">
        <is>
          <t>Valor controle (R$)</t>
        </is>
      </c>
      <c r="C4" s="11" t="inlineStr">
        <is>
          <t>Valor MESTRE 16 (R$)</t>
        </is>
      </c>
      <c r="D4" s="11" t="inlineStr">
        <is>
          <t>Diferença (R$)</t>
        </is>
      </c>
      <c r="E4" s="11" t="inlineStr">
        <is>
          <t>Situação</t>
        </is>
      </c>
    </row>
    <row r="5">
      <c r="A5" s="10" t="inlineStr">
        <is>
          <t>Pequim</t>
        </is>
      </c>
      <c r="B5" s="15" t="n">
        <v>999</v>
      </c>
      <c r="C5" s="15" t="n">
        <v>998.88</v>
      </c>
      <c r="D5" s="15" t="n">
        <v>-0.1200000000000045</v>
      </c>
      <c r="E5" s="10" t="inlineStr">
        <is>
          <t>DIFERENÇA DOCUMENTADA</t>
        </is>
      </c>
    </row>
    <row r="6">
      <c r="A6" s="10" t="inlineStr">
        <is>
          <t>Chengdu</t>
        </is>
      </c>
      <c r="B6" s="15" t="n">
        <v>135</v>
      </c>
      <c r="C6" s="15" t="n">
        <v>136</v>
      </c>
      <c r="D6" s="15" t="n">
        <v>1</v>
      </c>
      <c r="E6" s="10" t="inlineStr">
        <is>
          <t>DIFERENÇA DOCUMENTADA</t>
        </is>
      </c>
    </row>
    <row r="7">
      <c r="A7" s="10" t="inlineStr">
        <is>
          <t>Shenzhen</t>
        </is>
      </c>
      <c r="B7" s="15" t="n">
        <v>469</v>
      </c>
      <c r="C7" s="15" t="n">
        <v>469.27</v>
      </c>
      <c r="D7" s="15" t="n">
        <v>0.2699999999999818</v>
      </c>
      <c r="E7" s="10" t="inlineStr">
        <is>
          <t>DIFERENÇA DOCUMENTADA</t>
        </is>
      </c>
    </row>
    <row r="8">
      <c r="A8" s="10" t="n"/>
      <c r="B8" s="15" t="n"/>
      <c r="C8" s="15" t="n"/>
      <c r="D8" s="15" t="n"/>
      <c r="E8" s="10" t="n"/>
    </row>
    <row r="9">
      <c r="A9" s="10" t="inlineStr">
        <is>
          <t>Demais 13 hospedagens</t>
        </is>
      </c>
      <c r="B9" s="15" t="inlineStr"/>
      <c r="C9" s="15" t="inlineStr"/>
      <c r="D9" s="15" t="inlineStr"/>
      <c r="E9" s="10" t="inlineStr">
        <is>
          <t>Sem diferença identificada entre os valores registrados no controle e no MESTRE 16.</t>
        </is>
      </c>
    </row>
    <row r="10">
      <c r="A10" s="10" t="inlineStr">
        <is>
          <t>Hotel 16 — Guarulhos</t>
        </is>
      </c>
      <c r="B10" s="15" t="n">
        <v>317.57</v>
      </c>
      <c r="C10" s="15" t="n">
        <v>317.57</v>
      </c>
      <c r="D10" s="15" t="n">
        <v>0</v>
      </c>
      <c r="E10" s="10" t="inlineStr">
        <is>
          <t>FECHA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16" customWidth="1" min="4" max="4"/>
    <col width="16" customWidth="1" min="5" max="5"/>
    <col width="8" customWidth="1" min="6" max="6"/>
    <col width="18" customWidth="1" min="7" max="7"/>
    <col width="24" customWidth="1" min="8" max="8"/>
    <col width="45" customWidth="1" min="9" max="9"/>
    <col width="8" customWidth="1" min="10" max="10"/>
    <col width="38" customWidth="1" min="11" max="11"/>
    <col width="28" customWidth="1" min="12" max="12"/>
    <col width="30" customWidth="1" min="13" max="13"/>
    <col width="70" customWidth="1" min="14" max="14"/>
    <col width="22" customWidth="1" min="15" max="15"/>
    <col width="62" customWidth="1" min="16" max="16"/>
  </cols>
  <sheetData>
    <row r="1">
      <c r="A1" s="8" t="inlineStr">
        <is>
          <t>DETALHES TRANSCRITOS DO MESTRE HOTÉIS 16</t>
        </is>
      </c>
    </row>
    <row r="2">
      <c r="A2" t="inlineStr">
        <is>
          <t>Esta aba concentra os dados detalhados do Mestre; os dados do controle original não foram substituídos.</t>
        </is>
      </c>
    </row>
    <row r="4">
      <c r="A4" s="9" t="inlineStr">
        <is>
          <t>Nº</t>
        </is>
      </c>
      <c r="B4" s="9" t="inlineStr">
        <is>
          <t>Cidade</t>
        </is>
      </c>
      <c r="C4" s="9" t="inlineStr">
        <is>
          <t>Hotel</t>
        </is>
      </c>
      <c r="D4" s="9" t="inlineStr">
        <is>
          <t>Check-in</t>
        </is>
      </c>
      <c r="E4" s="9" t="inlineStr">
        <is>
          <t>Check-out</t>
        </is>
      </c>
      <c r="F4" s="9" t="inlineStr">
        <is>
          <t>Noites</t>
        </is>
      </c>
      <c r="G4" s="9" t="inlineStr">
        <is>
          <t>Valor MESTRE (R$)</t>
        </is>
      </c>
      <c r="H4" s="9" t="inlineStr">
        <is>
          <t>Reserva/Confirmação</t>
        </is>
      </c>
      <c r="I4" s="9" t="inlineStr">
        <is>
          <t>Quarto</t>
        </is>
      </c>
      <c r="J4" s="9" t="inlineStr">
        <is>
          <t>Adultos</t>
        </is>
      </c>
      <c r="K4" s="9" t="inlineStr">
        <is>
          <t>Café da manhã</t>
        </is>
      </c>
      <c r="L4" s="9" t="inlineStr">
        <is>
          <t>Depósito</t>
        </is>
      </c>
      <c r="M4" s="9" t="inlineStr">
        <is>
          <t>Pagamento</t>
        </is>
      </c>
      <c r="N4" s="9" t="inlineStr">
        <is>
          <t>Endereço</t>
        </is>
      </c>
      <c r="O4" s="9" t="inlineStr">
        <is>
          <t>Plataforma/contato</t>
        </is>
      </c>
      <c r="P4" s="9" t="inlineStr">
        <is>
          <t>Observações</t>
        </is>
      </c>
    </row>
    <row r="5">
      <c r="A5" s="10" t="n">
        <v>1</v>
      </c>
      <c r="B5" s="10" t="inlineStr">
        <is>
          <t>Madrid</t>
        </is>
      </c>
      <c r="C5" s="10" t="inlineStr">
        <is>
          <t>Clement Barajas</t>
        </is>
      </c>
      <c r="D5" s="10" t="inlineStr">
        <is>
          <t>18/10/2026</t>
        </is>
      </c>
      <c r="E5" s="10" t="inlineStr">
        <is>
          <t>18/10/2026</t>
        </is>
      </c>
      <c r="F5" s="10" t="n">
        <v>0</v>
      </c>
      <c r="G5" s="15" t="n">
        <v>376</v>
      </c>
      <c r="H5" s="10" t="inlineStr">
        <is>
          <t>56U69US1</t>
        </is>
      </c>
      <c r="I5" s="10" t="inlineStr">
        <is>
          <t>Duplo Standard — 2 camas separadas solicitadas</t>
        </is>
      </c>
      <c r="J5" s="10" t="n">
        <v>2</v>
      </c>
      <c r="K5" s="10" t="inlineStr">
        <is>
          <t>Não informado</t>
        </is>
      </c>
      <c r="L5" s="10" t="inlineStr">
        <is>
          <t>Não informado</t>
        </is>
      </c>
      <c r="M5" s="10" t="inlineStr">
        <is>
          <t>Pagar no hotel</t>
        </is>
      </c>
      <c r="N5" s="10" t="inlineStr">
        <is>
          <t>Av. General, 43, 28042 Madrid, Espanha</t>
        </is>
      </c>
      <c r="O5" s="10" t="inlineStr">
        <is>
          <t>The Use</t>
        </is>
      </c>
      <c r="P5" s="10" t="inlineStr">
        <is>
          <t>Cancelamento gratuito até 2h antes do final do intervalo.</t>
        </is>
      </c>
    </row>
    <row r="6">
      <c r="A6" s="10" t="n">
        <v>2</v>
      </c>
      <c r="B6" s="10" t="inlineStr">
        <is>
          <t>Doha</t>
        </is>
      </c>
      <c r="C6" s="10" t="inlineStr">
        <is>
          <t>Al Najada Hotel By Tivoli</t>
        </is>
      </c>
      <c r="D6" s="10" t="inlineStr">
        <is>
          <t>19/10/2026</t>
        </is>
      </c>
      <c r="E6" s="10" t="inlineStr">
        <is>
          <t>19/10/2026</t>
        </is>
      </c>
      <c r="F6" s="10" t="n">
        <v>1</v>
      </c>
      <c r="G6" s="15" t="n">
        <v>246</v>
      </c>
      <c r="H6" s="10" t="inlineStr">
        <is>
          <t>Não informado</t>
        </is>
      </c>
      <c r="I6" s="10" t="inlineStr">
        <is>
          <t>Não informado</t>
        </is>
      </c>
      <c r="J6" s="10" t="n">
        <v>2</v>
      </c>
      <c r="K6" s="10" t="inlineStr">
        <is>
          <t>Não informado</t>
        </is>
      </c>
      <c r="L6" s="10" t="inlineStr">
        <is>
          <t>Não informado</t>
        </is>
      </c>
      <c r="M6" s="10" t="inlineStr">
        <is>
          <t>PAGO</t>
        </is>
      </c>
      <c r="N6" s="10" t="inlineStr">
        <is>
          <t>Barahat Al Jufairi Street, Al Najada, Doha, Qatar</t>
        </is>
      </c>
      <c r="O6" s="10" t="inlineStr">
        <is>
          <t>Qatar Visitantes</t>
        </is>
      </c>
      <c r="P6" s="10" t="inlineStr">
        <is>
          <t>Metrô como opção principal; Uber/táxi como plano B.</t>
        </is>
      </c>
    </row>
    <row r="7">
      <c r="A7" s="10" t="n">
        <v>3</v>
      </c>
      <c r="B7" s="10" t="inlineStr">
        <is>
          <t>Hong Kong</t>
        </is>
      </c>
      <c r="C7" s="10" t="inlineStr">
        <is>
          <t>The Salvation Army — Booth Lodge</t>
        </is>
      </c>
      <c r="D7" s="10" t="inlineStr">
        <is>
          <t>20</t>
        </is>
      </c>
      <c r="E7" s="10" t="inlineStr">
        <is>
          <t>21/10/2026</t>
        </is>
      </c>
      <c r="F7" s="10" t="n">
        <v>1</v>
      </c>
      <c r="G7" s="15" t="n">
        <v>628.89</v>
      </c>
      <c r="H7" s="10" t="inlineStr">
        <is>
          <t>Não informado</t>
        </is>
      </c>
      <c r="I7" s="10" t="inlineStr">
        <is>
          <t>Não informado</t>
        </is>
      </c>
      <c r="J7" s="10" t="n">
        <v>2</v>
      </c>
      <c r="K7" s="10" t="inlineStr">
        <is>
          <t>Não informado</t>
        </is>
      </c>
      <c r="L7" s="10" t="inlineStr">
        <is>
          <t>Não informado</t>
        </is>
      </c>
      <c r="M7" s="10" t="inlineStr">
        <is>
          <t>PAGO</t>
        </is>
      </c>
      <c r="N7" s="10" t="inlineStr">
        <is>
          <t>11 Wing Sing Lane, Tsim Sha Tsui, Kowloon, Hong Kong</t>
        </is>
      </c>
      <c r="O7" s="10" t="inlineStr">
        <is>
          <t>Trip.com</t>
        </is>
      </c>
      <c r="P7" s="10" t="inlineStr">
        <is>
          <t>Porta principal trancada 00:00–06:00; se necessário, acionar recepção do Booth Lodge (7/F).</t>
        </is>
      </c>
    </row>
    <row r="8">
      <c r="A8" s="10" t="n">
        <v>4</v>
      </c>
      <c r="B8" s="10" t="inlineStr">
        <is>
          <t>Xangai</t>
        </is>
      </c>
      <c r="C8" s="10" t="inlineStr">
        <is>
          <t>Homeinn Selected — Nanjing Road/Bund</t>
        </is>
      </c>
      <c r="D8" s="10" t="inlineStr">
        <is>
          <t>21</t>
        </is>
      </c>
      <c r="E8" s="10" t="inlineStr">
        <is>
          <t>24/10/2026</t>
        </is>
      </c>
      <c r="F8" s="10" t="n">
        <v>3</v>
      </c>
      <c r="G8" s="15" t="n">
        <v>1193.61</v>
      </c>
      <c r="H8" s="10" t="inlineStr">
        <is>
          <t>1207313974351278</t>
        </is>
      </c>
      <c r="I8" s="10" t="inlineStr">
        <is>
          <t>Superior com 2 camas (Estilo Shikumen) — 2 camas de solteiro</t>
        </is>
      </c>
      <c r="J8" s="10" t="n">
        <v>2</v>
      </c>
      <c r="K8" s="10" t="inlineStr">
        <is>
          <t>Não — refeições não incluídas</t>
        </is>
      </c>
      <c r="L8" s="10" t="inlineStr">
        <is>
          <t>Não</t>
        </is>
      </c>
      <c r="M8" s="10" t="inlineStr">
        <is>
          <t>Pagar depois — Visa final 6614</t>
        </is>
      </c>
      <c r="N8" s="10" t="inlineStr">
        <is>
          <t>No. 11 (Inside the alley), Lane 135, Jiangxi Middle Road, Huangpu, 200002 Shanghai, China</t>
        </is>
      </c>
      <c r="O8" s="10" t="inlineStr">
        <is>
          <t>Trip.com</t>
        </is>
      </c>
      <c r="P8" s="10" t="inlineStr">
        <is>
          <t>Cancelamento grátis até 21/10/2026 às 18:00 (horário local).</t>
        </is>
      </c>
    </row>
    <row r="9">
      <c r="A9" s="10" t="n">
        <v>5</v>
      </c>
      <c r="B9" s="10" t="inlineStr">
        <is>
          <t>Pequim</t>
        </is>
      </c>
      <c r="C9" s="10" t="inlineStr">
        <is>
          <t>L Hotel — Tiananmen/Qianmen</t>
        </is>
      </c>
      <c r="D9" s="10" t="inlineStr">
        <is>
          <t>24</t>
        </is>
      </c>
      <c r="E9" s="10" t="inlineStr">
        <is>
          <t>27/10/2026</t>
        </is>
      </c>
      <c r="F9" s="10" t="n">
        <v>3</v>
      </c>
      <c r="G9" s="15" t="n">
        <v>998.88</v>
      </c>
      <c r="H9" s="10" t="inlineStr">
        <is>
          <t>1207314003736581</t>
        </is>
      </c>
      <c r="I9" s="10" t="inlineStr">
        <is>
          <t>Premium Smart Twin Room — 2 camas de solteiro</t>
        </is>
      </c>
      <c r="J9" s="10" t="n">
        <v>2</v>
      </c>
      <c r="K9" s="10" t="inlineStr">
        <is>
          <t>Não — refeições não incluídas</t>
        </is>
      </c>
      <c r="L9" s="10" t="inlineStr">
        <is>
          <t>Não</t>
        </is>
      </c>
      <c r="M9" s="10" t="inlineStr">
        <is>
          <t>Pagar depois — Visa final 2843; cobrança autorizada em 22/10/2026</t>
        </is>
      </c>
      <c r="N9" s="10" t="inlineStr">
        <is>
          <t>Building 1, No. 1 Courtyard, Jinyuchi Middle Street, Dongcheng District, Beijing, China</t>
        </is>
      </c>
      <c r="O9" s="10" t="inlineStr">
        <is>
          <t>Trip.com</t>
        </is>
      </c>
      <c r="P9" s="10" t="inlineStr">
        <is>
          <t>Cancelamento grátis até 23/10/2026 às 23:59; depois taxa de R$ 332,96.</t>
        </is>
      </c>
    </row>
    <row r="10">
      <c r="A10" s="10" t="n">
        <v>6</v>
      </c>
      <c r="B10" s="10" t="inlineStr">
        <is>
          <t>Xi'an</t>
        </is>
      </c>
      <c r="C10" s="10" t="inlineStr">
        <is>
          <t>Huangchengyi Hotel</t>
        </is>
      </c>
      <c r="D10" s="10" t="inlineStr">
        <is>
          <t>27</t>
        </is>
      </c>
      <c r="E10" s="10" t="inlineStr">
        <is>
          <t>29/10/2026</t>
        </is>
      </c>
      <c r="F10" s="10" t="n">
        <v>2</v>
      </c>
      <c r="G10" s="15" t="n">
        <v>230.12</v>
      </c>
      <c r="H10" s="10" t="inlineStr">
        <is>
          <t>1207314443920289</t>
        </is>
      </c>
      <c r="I10" s="10" t="inlineStr">
        <is>
          <t>Quarto de Hóspedes (2 camas) — 2 camas de solteiro</t>
        </is>
      </c>
      <c r="J10" s="10" t="n">
        <v>2</v>
      </c>
      <c r="K10" s="10" t="inlineStr">
        <is>
          <t>Sim — para 2 hóspedes por quarto, por diária</t>
        </is>
      </c>
      <c r="L10" s="10" t="inlineStr">
        <is>
          <t>CNY 100 (~R$ 76,74) no check-in</t>
        </is>
      </c>
      <c r="M10" s="10" t="inlineStr">
        <is>
          <t>Não informado</t>
        </is>
      </c>
      <c r="N10" s="10" t="inlineStr">
        <is>
          <t>No. 272 West 1st Road, Xincheng District, Xi'an, Shaanxi, China</t>
        </is>
      </c>
      <c r="O10" s="10" t="inlineStr">
        <is>
          <t>Trip.com</t>
        </is>
      </c>
      <c r="P10" s="10" t="inlineStr">
        <is>
          <t>Transfer não disponível. Depósito pode ser em dinheiro, cartão ou débito. Cancelamento grátis até 27/10/2026 às 23:59; depois taxa de R$ 115,06.</t>
        </is>
      </c>
    </row>
    <row r="11">
      <c r="A11" s="10" t="n">
        <v>7</v>
      </c>
      <c r="B11" s="10" t="inlineStr">
        <is>
          <t>Chengdu</t>
        </is>
      </c>
      <c r="C11" s="10" t="inlineStr">
        <is>
          <t>Homeinn · neo — Fuqin</t>
        </is>
      </c>
      <c r="D11" s="10" t="inlineStr">
        <is>
          <t>29</t>
        </is>
      </c>
      <c r="E11" s="10" t="inlineStr">
        <is>
          <t>30/10/2026</t>
        </is>
      </c>
      <c r="F11" s="10" t="n">
        <v>1</v>
      </c>
      <c r="G11" s="15" t="n">
        <v>136</v>
      </c>
      <c r="H11" s="10" t="inlineStr">
        <is>
          <t>1207314048642239</t>
        </is>
      </c>
      <c r="I11" s="10" t="inlineStr">
        <is>
          <t>Quarto com 2 camas — 2 camas de solteiro</t>
        </is>
      </c>
      <c r="J11" s="10" t="n">
        <v>2</v>
      </c>
      <c r="K11" s="10" t="inlineStr">
        <is>
          <t>Sim — para 2 hóspedes por quarto, por diária</t>
        </is>
      </c>
      <c r="L11" s="10" t="inlineStr">
        <is>
          <t>Não informado</t>
        </is>
      </c>
      <c r="M11" s="10" t="inlineStr">
        <is>
          <t>Não indicado nos prints preservados</t>
        </is>
      </c>
      <c r="N11" s="10" t="inlineStr">
        <is>
          <t>No. 128 First Ring Road West Section 3, Jinniu District, 610031 Chengdu, Sichuan, China</t>
        </is>
      </c>
      <c r="O11" s="10" t="inlineStr">
        <is>
          <t>Trip.com</t>
        </is>
      </c>
      <c r="P11" s="10" t="inlineStr">
        <is>
          <t>Guia de check-in enviado pela propriedade antes da estadia. Transfer não disponível.</t>
        </is>
      </c>
    </row>
    <row r="12">
      <c r="A12" s="10" t="n">
        <v>8</v>
      </c>
      <c r="B12" s="10" t="inlineStr">
        <is>
          <t>Chongqing</t>
        </is>
      </c>
      <c r="C12" s="10" t="inlineStr">
        <is>
          <t>ARISTON AIRESTON — Jiefangbei/Hongyadong</t>
        </is>
      </c>
      <c r="D12" s="10" t="inlineStr">
        <is>
          <t>30/10</t>
        </is>
      </c>
      <c r="E12" s="10" t="inlineStr">
        <is>
          <t>01/11/2026</t>
        </is>
      </c>
      <c r="F12" s="10" t="n">
        <v>2</v>
      </c>
      <c r="G12" s="15" t="n">
        <v>1024</v>
      </c>
      <c r="H12" s="10" t="inlineStr">
        <is>
          <t>Não recuperado</t>
        </is>
      </c>
      <c r="I12" s="10" t="inlineStr">
        <is>
          <t>Não recuperado</t>
        </is>
      </c>
      <c r="J12" s="10" t="n">
        <v>2</v>
      </c>
      <c r="K12" s="10" t="inlineStr">
        <is>
          <t>Não informado</t>
        </is>
      </c>
      <c r="L12" s="10" t="inlineStr">
        <is>
          <t>Não informado</t>
        </is>
      </c>
      <c r="M12" s="10" t="inlineStr">
        <is>
          <t>Não informado</t>
        </is>
      </c>
      <c r="N12" s="10" t="inlineStr">
        <is>
          <t>Endereço específico não recuperado; referência: região de Jiefangbei / Hongyadong, Chongqing, China</t>
        </is>
      </c>
      <c r="O12" s="10" t="inlineStr">
        <is>
          <t>Não informado</t>
        </is>
      </c>
      <c r="P12" s="10" t="inlineStr">
        <is>
          <t>Dados de reserva específicos não recuperados no momento; não preencher com suposição.</t>
        </is>
      </c>
    </row>
    <row r="13">
      <c r="A13" s="10" t="n">
        <v>9</v>
      </c>
      <c r="B13" s="10" t="inlineStr">
        <is>
          <t>Fenghuang</t>
        </is>
      </c>
      <c r="C13" s="10" t="inlineStr">
        <is>
          <t>Stay at Maomao River View Homestay</t>
        </is>
      </c>
      <c r="D13" s="10" t="inlineStr">
        <is>
          <t>01</t>
        </is>
      </c>
      <c r="E13" s="10" t="inlineStr">
        <is>
          <t>02/11/2026</t>
        </is>
      </c>
      <c r="F13" s="10" t="n">
        <v>1</v>
      </c>
      <c r="G13" s="15" t="n">
        <v>195.5</v>
      </c>
      <c r="H13" s="10" t="inlineStr">
        <is>
          <t>Não recuperado</t>
        </is>
      </c>
      <c r="I13" s="10" t="inlineStr">
        <is>
          <t>Conforme reserva — banheiro sanitário ocidental obrigatório</t>
        </is>
      </c>
      <c r="J13" s="10" t="n">
        <v>2</v>
      </c>
      <c r="K13" s="10" t="inlineStr">
        <is>
          <t>Não informado</t>
        </is>
      </c>
      <c r="L13" s="10" t="inlineStr">
        <is>
          <t>CNY 200 (~R$ 153,54) no check-in</t>
        </is>
      </c>
      <c r="M13" s="10" t="inlineStr">
        <is>
          <t>Não informado</t>
        </is>
      </c>
      <c r="N13" s="10" t="inlineStr">
        <is>
          <t>No. 36 Laocai Street, Tuojiang Town, Fenghuang County, Hunan, China</t>
        </is>
      </c>
      <c r="O13" s="10" t="inlineStr">
        <is>
          <t>Não informado</t>
        </is>
      </c>
      <c r="P13" s="10" t="inlineStr">
        <is>
          <t>Depósito pode ser em dinheiro, cartão, débito ou terceiro; reembolso não em dinheiro em 2–4 semanas. Check-in após 14:00; check-out antes de 12:00.</t>
        </is>
      </c>
    </row>
    <row r="14">
      <c r="A14" s="10" t="n">
        <v>10</v>
      </c>
      <c r="B14" s="10" t="inlineStr">
        <is>
          <t>Zhangjiajie</t>
        </is>
      </c>
      <c r="C14" s="10" t="inlineStr">
        <is>
          <t>Yunfu Garden Hotel — Tianmen Cableway</t>
        </is>
      </c>
      <c r="D14" s="10" t="inlineStr">
        <is>
          <t>02</t>
        </is>
      </c>
      <c r="E14" s="10" t="inlineStr">
        <is>
          <t>04/11/2026</t>
        </is>
      </c>
      <c r="F14" s="10" t="n">
        <v>2</v>
      </c>
      <c r="G14" s="15" t="n">
        <v>285.12</v>
      </c>
      <c r="H14" s="10" t="inlineStr">
        <is>
          <t>Não recuperado</t>
        </is>
      </c>
      <c r="I14" s="10" t="inlineStr">
        <is>
          <t>Não recuperado</t>
        </is>
      </c>
      <c r="J14" s="10" t="n">
        <v>2</v>
      </c>
      <c r="K14" s="10" t="inlineStr">
        <is>
          <t>Não informado</t>
        </is>
      </c>
      <c r="L14" s="10" t="inlineStr">
        <is>
          <t>Não informado</t>
        </is>
      </c>
      <c r="M14" s="10" t="inlineStr">
        <is>
          <t>Não informado</t>
        </is>
      </c>
      <c r="N14" s="10" t="inlineStr">
        <is>
          <t>Endereço específico não recuperado; referência: região da estação do Teleférico de Tianmen, Zhangjiajie, Hunan, China</t>
        </is>
      </c>
      <c r="O14" s="10" t="inlineStr">
        <is>
          <t>Não informado</t>
        </is>
      </c>
      <c r="P14" s="10" t="inlineStr">
        <is>
          <t>Acessos finais dependem da programação; dados de reserva não recuperados.</t>
        </is>
      </c>
    </row>
    <row r="15">
      <c r="A15" s="10" t="n">
        <v>11</v>
      </c>
      <c r="B15" s="10" t="inlineStr">
        <is>
          <t>Furong</t>
        </is>
      </c>
      <c r="C15" s="10" t="inlineStr">
        <is>
          <t>Tuwang Palace — Eight Halls</t>
        </is>
      </c>
      <c r="D15" s="10" t="inlineStr">
        <is>
          <t>04</t>
        </is>
      </c>
      <c r="E15" s="10" t="inlineStr">
        <is>
          <t>05/11/2026</t>
        </is>
      </c>
      <c r="F15" s="10" t="n">
        <v>1</v>
      </c>
      <c r="G15" s="15" t="n">
        <v>663</v>
      </c>
      <c r="H15" s="10" t="inlineStr">
        <is>
          <t>Não informado</t>
        </is>
      </c>
      <c r="I15" s="10" t="inlineStr">
        <is>
          <t>Pavilhão Feishui — Quarto King com vista para cachoeira 180º e varanda</t>
        </is>
      </c>
      <c r="J15" s="10" t="n">
        <v>2</v>
      </c>
      <c r="K15" s="10" t="inlineStr">
        <is>
          <t>Não informado</t>
        </is>
      </c>
      <c r="L15" s="10" t="inlineStr">
        <is>
          <t>Não informado</t>
        </is>
      </c>
      <c r="M15" s="10" t="inlineStr">
        <is>
          <t>Não informado</t>
        </is>
      </c>
      <c r="N15" s="10" t="inlineStr">
        <is>
          <t>No. 1, Zoumaping Village Group, New District, Tingtao Road, Furong Town, Yongshun, Hunan, 416707, China</t>
        </is>
      </c>
      <c r="O15" s="10" t="inlineStr">
        <is>
          <t>Não informado</t>
        </is>
      </c>
      <c r="P15" s="10" t="inlineStr">
        <is>
          <t>Hotel buscará vocês na estação de trem de alta velocidade. Em 31/10, informar trem, estação, horário, ponto de encontro e solicitar identificação do motorista.</t>
        </is>
      </c>
    </row>
    <row r="16">
      <c r="A16" s="10" t="n">
        <v>12</v>
      </c>
      <c r="B16" s="10" t="inlineStr">
        <is>
          <t>Guilin</t>
        </is>
      </c>
      <c r="C16" s="10" t="inlineStr">
        <is>
          <t>Homeinn Selected — Two Rivers / Elephant Trunk Hill</t>
        </is>
      </c>
      <c r="D16" s="10" t="inlineStr">
        <is>
          <t>05</t>
        </is>
      </c>
      <c r="E16" s="10" t="inlineStr">
        <is>
          <t>06/11/2026</t>
        </is>
      </c>
      <c r="F16" s="10" t="n">
        <v>1</v>
      </c>
      <c r="G16" s="15" t="n">
        <v>192.25</v>
      </c>
      <c r="H16" s="10" t="inlineStr">
        <is>
          <t>1207314416258868</t>
        </is>
      </c>
      <c r="I16" s="10" t="inlineStr">
        <is>
          <t>Superior com 2 camas — 2 camas de casal</t>
        </is>
      </c>
      <c r="J16" s="10" t="n">
        <v>2</v>
      </c>
      <c r="K16" s="10" t="inlineStr">
        <is>
          <t>Não — café da manhã extra disponível</t>
        </is>
      </c>
      <c r="L16" s="10" t="inlineStr">
        <is>
          <t>Não</t>
        </is>
      </c>
      <c r="M16" s="10" t="inlineStr">
        <is>
          <t>PAGO</t>
        </is>
      </c>
      <c r="N16" s="10" t="inlineStr">
        <is>
          <t>1st Floor, Building B, Guilin Department Store Building, No. 19 Tongquan Lane, Xiangshan District, Guilin, Guangxi, China</t>
        </is>
      </c>
      <c r="O16" s="10" t="inlineStr">
        <is>
          <t>Não informado</t>
        </is>
      </c>
      <c r="P16" s="10" t="inlineStr">
        <is>
          <t>Transfer disponível — consultar a propriedade. Cancelamento grátis até 05/11/2026 às 18:00; depois não reembolsável.</t>
        </is>
      </c>
    </row>
    <row r="17">
      <c r="A17" s="10" t="n">
        <v>13</v>
      </c>
      <c r="B17" s="10" t="inlineStr">
        <is>
          <t>Yangshuo</t>
        </is>
      </c>
      <c r="C17" s="10" t="inlineStr">
        <is>
          <t>Muyunli — Yangshuo West Street</t>
        </is>
      </c>
      <c r="D17" s="10" t="inlineStr">
        <is>
          <t>06</t>
        </is>
      </c>
      <c r="E17" s="10" t="inlineStr">
        <is>
          <t>07/11/2026</t>
        </is>
      </c>
      <c r="F17" s="10" t="n">
        <v>1</v>
      </c>
      <c r="G17" s="15" t="n">
        <v>158.42</v>
      </c>
      <c r="H17" s="10" t="inlineStr">
        <is>
          <t>120731442095031</t>
        </is>
      </c>
      <c r="I17" s="10" t="inlineStr">
        <is>
          <t>Yunyi Mountain-View Twin Room — 2 camas de casal</t>
        </is>
      </c>
      <c r="J17" s="10" t="n">
        <v>2</v>
      </c>
      <c r="K17" s="10" t="inlineStr">
        <is>
          <t>Não — café da manhã extra disponível</t>
        </is>
      </c>
      <c r="L17" s="10" t="inlineStr">
        <is>
          <t>Não informado</t>
        </is>
      </c>
      <c r="M17" s="10" t="inlineStr">
        <is>
          <t>Pagamento posterior — Visa final 2843; débito previsto em 04/11/2026</t>
        </is>
      </c>
      <c r="N17" s="10" t="inlineStr">
        <is>
          <t>No. 23 Fengming Road, Yangshuo County, Guilin, Guangxi, China</t>
        </is>
      </c>
      <c r="O17" s="10" t="inlineStr">
        <is>
          <t>Trip.com</t>
        </is>
      </c>
      <c r="P17" s="10" t="inlineStr">
        <is>
          <t>Transfer disponível — consultar a propriedade. Cancelamento grátis até 06/11/2026 às 18:00; depois não reembolsável.</t>
        </is>
      </c>
    </row>
    <row r="18">
      <c r="A18" s="10" t="n">
        <v>14</v>
      </c>
      <c r="B18" s="10" t="inlineStr">
        <is>
          <t>Shenzhen</t>
        </is>
      </c>
      <c r="C18" s="10" t="inlineStr">
        <is>
          <t>Echarm Hotel — Central Park/Huaqiangbei</t>
        </is>
      </c>
      <c r="D18" s="10" t="inlineStr">
        <is>
          <t>07</t>
        </is>
      </c>
      <c r="E18" s="10" t="inlineStr">
        <is>
          <t>09/11/2026</t>
        </is>
      </c>
      <c r="F18" s="10" t="n">
        <v>2</v>
      </c>
      <c r="G18" s="15" t="n">
        <v>469.27</v>
      </c>
      <c r="H18" s="10" t="inlineStr">
        <is>
          <t>1207314421469885</t>
        </is>
      </c>
      <c r="I18" s="10" t="inlineStr">
        <is>
          <t>Quarto Duplo Standard — 2 camas de solteiro</t>
        </is>
      </c>
      <c r="J18" s="10" t="n">
        <v>2</v>
      </c>
      <c r="K18" s="10" t="inlineStr">
        <is>
          <t>Não — refeições não incluídas</t>
        </is>
      </c>
      <c r="L18" s="10" t="inlineStr">
        <is>
          <t>Não informado</t>
        </is>
      </c>
      <c r="M18" s="10" t="inlineStr">
        <is>
          <t>Pagamento posterior — Visa final 7085; débito previsto em 05/11/2026</t>
        </is>
      </c>
      <c r="N18" s="10" t="inlineStr">
        <is>
          <t>No. 101, Building 1, Haiwai Zhuangshi Building, No. 122 Zhenhua Road, Huahang Community, Huaqiangbei Subdistrict, Futian District, Shenzhen, Guangdong, China</t>
        </is>
      </c>
      <c r="O18" s="10" t="inlineStr">
        <is>
          <t>Trip.com</t>
        </is>
      </c>
      <c r="P18" s="10" t="inlineStr">
        <is>
          <t>Café da manhã extra: CNY 59 por adulto (07–10/11), opções ocidentais, chinesas e halal. Transfer não disponível pelo hotel. Cancelamento grátis até 07/11/2026 às 18:00; depois taxa de R$ 242,75.</t>
        </is>
      </c>
    </row>
    <row r="19">
      <c r="A19" s="10" t="n">
        <v>15</v>
      </c>
      <c r="B19" s="10" t="inlineStr">
        <is>
          <t>Madrid</t>
        </is>
      </c>
      <c r="C19" s="10" t="inlineStr">
        <is>
          <t>New Point Opera</t>
        </is>
      </c>
      <c r="D19" s="10" t="inlineStr">
        <is>
          <t>10</t>
        </is>
      </c>
      <c r="E19" s="10" t="inlineStr">
        <is>
          <t>11/11/2026</t>
        </is>
      </c>
      <c r="F19" s="10" t="n">
        <v>1</v>
      </c>
      <c r="G19" s="15" t="n">
        <v>706</v>
      </c>
      <c r="H19" s="10" t="inlineStr">
        <is>
          <t>Não informado</t>
        </is>
      </c>
      <c r="I19" s="10" t="inlineStr">
        <is>
          <t>Não informado</t>
        </is>
      </c>
      <c r="J19" s="10" t="n">
        <v>2</v>
      </c>
      <c r="K19" s="10" t="inlineStr">
        <is>
          <t>Não informado</t>
        </is>
      </c>
      <c r="L19" s="10" t="inlineStr">
        <is>
          <t>Não informado</t>
        </is>
      </c>
      <c r="M19" s="10" t="inlineStr">
        <is>
          <t>Não informado</t>
        </is>
      </c>
      <c r="N19" s="10" t="inlineStr">
        <is>
          <t>Calle de las Hileras, 8, Centro, Madrid 28013, Espanha</t>
        </is>
      </c>
      <c r="O19" s="10" t="inlineStr">
        <is>
          <t>Booking</t>
        </is>
      </c>
      <c r="P19" s="10" t="inlineStr">
        <is>
          <t>Valor aproximado. Hospedagem no Centro de Madrid, próxima à região da Ópera.</t>
        </is>
      </c>
    </row>
    <row r="20">
      <c r="A20" s="10" t="n">
        <v>16</v>
      </c>
      <c r="B20" s="10" t="inlineStr">
        <is>
          <t>Guarulhos / São Paulo</t>
        </is>
      </c>
      <c r="C20" s="10" t="inlineStr">
        <is>
          <t>Hotel Internacional Guarulhos</t>
        </is>
      </c>
      <c r="D20" s="10" t="inlineStr">
        <is>
          <t>11</t>
        </is>
      </c>
      <c r="E20" s="10" t="inlineStr">
        <is>
          <t>12/11/2026</t>
        </is>
      </c>
      <c r="F20" s="10" t="n">
        <v>1</v>
      </c>
      <c r="G20" s="15" t="n">
        <v>317.57</v>
      </c>
      <c r="H20" s="10" t="inlineStr">
        <is>
          <t>6691 237 587</t>
        </is>
      </c>
      <c r="I20" s="10" t="inlineStr">
        <is>
          <t>Quarto Duplo</t>
        </is>
      </c>
      <c r="J20" s="10" t="n">
        <v>2</v>
      </c>
      <c r="K20" s="10" t="inlineStr">
        <is>
          <t>Não informado</t>
        </is>
      </c>
      <c r="L20" s="10" t="inlineStr">
        <is>
          <t>Não informado</t>
        </is>
      </c>
      <c r="M20" s="10" t="inlineStr">
        <is>
          <t>Não informado</t>
        </is>
      </c>
      <c r="N20" s="10" t="inlineStr">
        <is>
          <t>Avenida João Cavalari, Guarulhos, SP — 07030-020, Brasil</t>
        </is>
      </c>
      <c r="O20" s="10" t="inlineStr">
        <is>
          <t>+55 11 4040 6820</t>
        </is>
      </c>
      <c r="P20" s="10" t="inlineStr">
        <is>
          <t>Código PIN 1905. Check-in 11/11/2026 14:00–23:30; check-out 12/11/2026 12:00–13:00. Dados transcritos do print da confirmação enviado pela Magali.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2026-09-18T02:45:28Z</dcterms:created>
  <dcterms:modified xmlns:dcterms="http://purl.org/dc/terms/" xmlns:xsi="http://www.w3.org/2001/XMLSchema-instance" xsi:type="dcterms:W3CDTF">2026-09-18T02:45:28Z</dcterms:modified>
</cp:coreProperties>
</file>